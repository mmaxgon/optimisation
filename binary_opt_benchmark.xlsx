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Результаты" sheetId="2" state="visible" r:id="rId4"/>
    <sheet name="Примечания" sheetId="3" state="visible" r:id="rId5"/>
  </sheets>
  <definedNames>
    <definedName function="false" hidden="true" localSheetId="1" name="_xlnm._FilterDatabase" vbProcedure="false">Результаты!$A$1:$Q$37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<sst xmlns="http://schemas.openxmlformats.org/spreadsheetml/2006/main" count="91" uniqueCount="50">
  <si>
    <t xml:space="preserve">Результаты прогона алгоритма при малых K</t>
  </si>
  <si>
    <t xml:space="preserve">M = 0,15·N, 3 seed на размер, средние по seed. Данные — лист «Результаты», пояснения — лист «Примечания».</t>
  </si>
  <si>
    <t xml:space="preserve">Эталон: прямое MILP (HiGHS через scipy)</t>
  </si>
  <si>
    <t xml:space="preserve">N</t>
  </si>
  <si>
    <t xml:space="preserve">Режим остановки</t>
  </si>
  <si>
    <t xml:space="preserve">Среднее время, с</t>
  </si>
  <si>
    <t xml:space="preserve">Среднее отклонение от прямого MILP (+ — алгоритм хуже, − — лучше)</t>
  </si>
  <si>
    <t xml:space="preserve">Средний gap к LP-границе</t>
  </si>
  <si>
    <t xml:space="preserve">Среднее время алгоритма, с</t>
  </si>
  <si>
    <t xml:space="preserve">Среднее число LP-решений</t>
  </si>
  <si>
    <t xml:space="preserve">Среднее число возмущений (Шаг 2)</t>
  </si>
  <si>
    <t xml:space="preserve">Среднее число дайвов (Шаг 2′)</t>
  </si>
  <si>
    <t xml:space="preserve">M</t>
  </si>
  <si>
    <t xml:space="preserve">Seed</t>
  </si>
  <si>
    <t xml:space="preserve">K</t>
  </si>
  <si>
    <t xml:space="preserve">Значение алгоритма</t>
  </si>
  <si>
    <t xml:space="preserve">Время алгоритма, с</t>
  </si>
  <si>
    <t xml:space="preserve">Прямое MILP, значение</t>
  </si>
  <si>
    <t xml:space="preserve">Оценка сверху (dual bound MILP)</t>
  </si>
  <si>
    <t xml:space="preserve">MILP доказал оптимум</t>
  </si>
  <si>
    <t xml:space="preserve">Время прямого MILP, с</t>
  </si>
  <si>
    <t xml:space="preserve">Отклонение от MILP</t>
  </si>
  <si>
    <t xml:space="preserve">Gap к LP-границе</t>
  </si>
  <si>
    <t xml:space="preserve">Отклонение от оценки сверху</t>
  </si>
  <si>
    <t xml:space="preserve">LP-решений</t>
  </si>
  <si>
    <t xml:space="preserve">Возмущений</t>
  </si>
  <si>
    <t xml:space="preserve">Дайвов (Шаг 2′)</t>
  </si>
  <si>
    <t xml:space="preserve">Откатов</t>
  </si>
  <si>
    <t xml:space="preserve">Да</t>
  </si>
  <si>
    <t xml:space="preserve">Нет</t>
  </si>
  <si>
    <t xml:space="preserve">Что это</t>
  </si>
  <si>
    <t xml:space="preserve">Результаты прогона прототипа binary_optimization_prototype.py (LP на HiGHS, персистентная модель) при малых K.</t>
  </si>
  <si>
    <t xml:space="preserve">Постановка</t>
  </si>
  <si>
    <t xml:space="preserve">max c·x при 0 ≤ Ax ≤ N, x ∈ {0,1}^N; c — целые 1…9, A — целые 0…9, M = 0,15·N; генерация numpy RandomState(seed), seed = 1, 2, 3.</t>
  </si>
  <si>
    <t xml:space="preserve">Параметры алгоритма</t>
  </si>
  <si>
    <t xml:space="preserve">K = 5, 10, 15; K_max = 2K; B_max = 3; ε = 1e-6; ρ̂ = 0,1; γ = 0,1; δ = 0,1; β = 2; R = 5; θ = 0,1; ζ = 0,05.</t>
  </si>
  <si>
    <t xml:space="preserve">Эталон</t>
  </si>
  <si>
    <t xml:space="preserve">Прямое MILP (scipy.optimize.milp) с лимитом времени 30 с для N ≤ 1000 и 20 с для N = 3000. При остановке по лимиту значение — лучшее найденное, не оптимум.</t>
  </si>
  <si>
    <t xml:space="preserve">«Оценка сверху» — dual bound HiGHS на момент остановки (при доказанном оптимуме совпадает со значением). Время прямого MILP измерено один раз на экземпляр и повторено в строках K = 5, 10, 15.</t>
  </si>
  <si>
    <t xml:space="preserve">Показатели</t>
  </si>
  <si>
    <t xml:space="preserve">Отклонение от MILP = (MILP − алгоритм) / |MILP|: плюс — алгоритм хуже эталона, минус — лучше (эталон на больших N не доведён до оптимума).</t>
  </si>
  <si>
    <t xml:space="preserve">Gap к LP-границе берётся из прогона: (z_LP − значение) / max(1, |z_LP|), где z_LP — оптимум LP-релаксации. Это верхняя оценка отклонения от истинного оптимума.</t>
  </si>
  <si>
    <t xml:space="preserve">Отклонение от оценки сверху = (dual bound − значение алгоритма) / dual bound.</t>
  </si>
  <si>
    <t xml:space="preserve">Цвета</t>
  </si>
  <si>
    <t xml:space="preserve">Синий — значения из прогона (введены как данные). Чёрный — формулы.</t>
  </si>
  <si>
    <t xml:space="preserve">Не вошло в таблицу</t>
  </si>
  <si>
    <t xml:space="preserve">N = 10000, M = 1500, seed = 1: прямое MILP за лимит времени не нашло допустимого решения. Алгоритм дошёл до |J| = 27 примерно за 90 с, после чего процесс завершился без итога (причина не выяснена, потребление памяти ≈ 1 ГБ из 4 ГБ). Результата нет.</t>
  </si>
  <si>
    <t xml:space="preserve">Оговорки</t>
  </si>
  <si>
    <t xml:space="preserve">Измерения на одной машине (4 ГБ). При параллельном запуске двух процессов времена на N = 3000 были выше (7–11 с против 3,7–5,1 с в одиночном прогоне); в таблице одиночный прогон.</t>
  </si>
  <si>
    <t xml:space="preserve">Откат на Шаге 3 не сработал ни разу: на задаче упаковки (A ≥ 0, ограничения ≤) фиксации округлением вниз всегда допустимы. Для проверки отката нужны задачи покрытия или назначения.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</si>
</sst>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"/>
    <numFmt numFmtId="166" formatCode="&quot;K = &quot;0"/>
    <numFmt numFmtId="167" formatCode="\+0.00%;\-0.00%;0.00%"/>
    <numFmt numFmtId="168" formatCode="0.00%"/>
    <numFmt numFmtId="169" formatCode="0"/>
    <numFmt numFmtId="170" formatCode="0.0%"/>
    <numFmt numFmtId="171" formatCode="#,##0"/>
    <numFmt numFmtId="172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Средний gap к LP-границе по размерности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"K = 5"</c:f>
              <c:strCache>
                <c:ptCount val="1"/>
                <c:pt idx="0">
                  <c:v>K = 5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Сводка!$A$20:$A$23</c:f>
              <c:strCache>
                <c:ptCount val="4"/>
                <c:pt idx="0">
                  <c:v>100</c:v>
                </c:pt>
                <c:pt idx="1">
                  <c:v>300</c:v>
                </c:pt>
                <c:pt idx="2">
                  <c:v>1000</c:v>
                </c:pt>
                <c:pt idx="3">
                  <c:v>3000</c:v>
                </c:pt>
              </c:strCache>
            </c:strRef>
          </c:cat>
          <c:val>
            <c:numRef>
              <c:f>Сводка!$B$20:$B$23</c:f>
              <c:numCache>
                <c:formatCode>0.00%</c:formatCode>
                <c:ptCount val="4"/>
                <c:pt idx="0">
                  <c:v>0.0383384160299078</c:v>
                </c:pt>
                <c:pt idx="1">
                  <c:v>0.0265817932817592</c:v>
                </c:pt>
                <c:pt idx="2">
                  <c:v>0.00876637765540127</c:v>
                </c:pt>
                <c:pt idx="3">
                  <c:v>0.00433251493664582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"K = 10"</c:f>
              <c:strCache>
                <c:ptCount val="1"/>
                <c:pt idx="0">
                  <c:v>K = 10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Сводка!$A$20:$A$23</c:f>
              <c:strCache>
                <c:ptCount val="4"/>
                <c:pt idx="0">
                  <c:v>100</c:v>
                </c:pt>
                <c:pt idx="1">
                  <c:v>300</c:v>
                </c:pt>
                <c:pt idx="2">
                  <c:v>1000</c:v>
                </c:pt>
                <c:pt idx="3">
                  <c:v>3000</c:v>
                </c:pt>
              </c:strCache>
            </c:strRef>
          </c:cat>
          <c:val>
            <c:numRef>
              <c:f>Сводка!$C$20:$C$23</c:f>
              <c:numCache>
                <c:formatCode>0.00%</c:formatCode>
                <c:ptCount val="4"/>
                <c:pt idx="0">
                  <c:v>0.0246720080053394</c:v>
                </c:pt>
                <c:pt idx="1">
                  <c:v>0.0160661652565532</c:v>
                </c:pt>
                <c:pt idx="2">
                  <c:v>0.00729908605373691</c:v>
                </c:pt>
                <c:pt idx="3">
                  <c:v>0.00348342991084365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"K = 15"</c:f>
              <c:strCache>
                <c:ptCount val="1"/>
                <c:pt idx="0">
                  <c:v>K = 15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circle"/>
            <c:size val="5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Сводка!$A$20:$A$23</c:f>
              <c:strCache>
                <c:ptCount val="4"/>
                <c:pt idx="0">
                  <c:v>100</c:v>
                </c:pt>
                <c:pt idx="1">
                  <c:v>300</c:v>
                </c:pt>
                <c:pt idx="2">
                  <c:v>1000</c:v>
                </c:pt>
                <c:pt idx="3">
                  <c:v>3000</c:v>
                </c:pt>
              </c:strCache>
            </c:strRef>
          </c:cat>
          <c:val>
            <c:numRef>
              <c:f>Сводка!$D$20:$D$23</c:f>
              <c:numCache>
                <c:formatCode>0.00%</c:formatCode>
                <c:ptCount val="4"/>
                <c:pt idx="0">
                  <c:v>0.0246720080053394</c:v>
                </c:pt>
                <c:pt idx="1">
                  <c:v>0.0142190299845523</c:v>
                </c:pt>
                <c:pt idx="2">
                  <c:v>0.00729908605373691</c:v>
                </c:pt>
                <c:pt idx="3">
                  <c:v>0.00299671377147523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90872593"/>
        <c:axId val="82844748"/>
      </c:lineChart>
      <c:catAx>
        <c:axId val="908725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844748"/>
        <c:crosses val="autoZero"/>
        <c:auto val="1"/>
        <c:lblAlgn val="ctr"/>
        <c:lblOffset val="100"/>
        <c:noMultiLvlLbl val="0"/>
      </c:catAx>
      <c:valAx>
        <c:axId val="828447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Gap к LP-границе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725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176040</xdr:rowOff>
    </xdr:from>
    <xdr:to>
      <xdr:col>13</xdr:col>
      <xdr:colOff>507600</xdr:colOff>
      <xdr:row>18</xdr:row>
      <xdr:rowOff>75240</xdr:rowOff>
    </xdr:to>
    <xdr:graphicFrame>
      <xdr:nvGraphicFramePr>
        <xdr:cNvPr id="0" name="Chart 1"/>
        <xdr:cNvGraphicFramePr/>
      </xdr:nvGraphicFramePr>
      <xdr:xfrm>
        <a:off x="4840560" y="5716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n">
        <v>100</v>
      </c>
      <c r="B6" s="5" t="str">
        <f aca="false">IF(COUNTIFS(Результаты!$A$2:$A$37,$A6,Результаты!$I$2:$I$37,"Да")=COUNTIFS(Результаты!$A$2:$A$37,$A6),"оптимум","лимит времени")</f>
        <v>оптимум</v>
      </c>
      <c r="C6" s="6" t="n">
        <f aca="false">AVERAGEIFS(Результаты!$J$2:$J$37,Результаты!$A$2:$A$37,$A6)</f>
        <v>1.00372846921285</v>
      </c>
    </row>
    <row r="7" customFormat="false" ht="15" hidden="false" customHeight="false" outlineLevel="0" collapsed="false">
      <c r="A7" s="5" t="n">
        <v>300</v>
      </c>
      <c r="B7" s="5" t="str">
        <f aca="false">IF(COUNTIFS(Результаты!$A$2:$A$37,$A7,Результаты!$I$2:$I$37,"Да")=COUNTIFS(Результаты!$A$2:$A$37,$A7),"оптимум","лимит времени")</f>
        <v>лимит времени</v>
      </c>
      <c r="C7" s="6" t="n">
        <f aca="false">AVERAGEIFS(Результаты!$J$2:$J$37,Результаты!$A$2:$A$37,$A7)</f>
        <v>30.0081776777903</v>
      </c>
    </row>
    <row r="8" customFormat="false" ht="15" hidden="false" customHeight="false" outlineLevel="0" collapsed="false">
      <c r="A8" s="5" t="n">
        <v>1000</v>
      </c>
      <c r="B8" s="5" t="str">
        <f aca="false">IF(COUNTIFS(Результаты!$A$2:$A$37,$A8,Результаты!$I$2:$I$37,"Да")=COUNTIFS(Результаты!$A$2:$A$37,$A8),"оптимум","лимит времени")</f>
        <v>лимит времени</v>
      </c>
      <c r="C8" s="6" t="n">
        <f aca="false">AVERAGEIFS(Результаты!$J$2:$J$37,Результаты!$A$2:$A$37,$A8)</f>
        <v>30.0317983627319</v>
      </c>
    </row>
    <row r="9" customFormat="false" ht="15" hidden="false" customHeight="false" outlineLevel="0" collapsed="false">
      <c r="A9" s="5" t="n">
        <v>3000</v>
      </c>
      <c r="B9" s="5" t="str">
        <f aca="false">IF(COUNTIFS(Результаты!$A$2:$A$37,$A9,Результаты!$I$2:$I$37,"Да")=COUNTIFS(Результаты!$A$2:$A$37,$A9),"оптимум","лимит времени")</f>
        <v>лимит времени</v>
      </c>
      <c r="C9" s="6" t="n">
        <f aca="false">AVERAGEIFS(Результаты!$J$2:$J$37,Результаты!$A$2:$A$37,$A9)</f>
        <v>20.1968309879303</v>
      </c>
    </row>
    <row r="11" customFormat="false" ht="15" hidden="false" customHeight="false" outlineLevel="0" collapsed="false">
      <c r="A11" s="3" t="s">
        <v>6</v>
      </c>
    </row>
    <row r="12" customFormat="false" ht="15" hidden="false" customHeight="false" outlineLevel="0" collapsed="false">
      <c r="A12" s="4" t="s">
        <v>3</v>
      </c>
      <c r="B12" s="7" t="n">
        <v>5</v>
      </c>
      <c r="C12" s="7" t="n">
        <v>10</v>
      </c>
      <c r="D12" s="7" t="n">
        <v>15</v>
      </c>
    </row>
    <row r="13" customFormat="false" ht="15" hidden="false" customHeight="false" outlineLevel="0" collapsed="false">
      <c r="A13" s="5" t="n">
        <v>100</v>
      </c>
      <c r="B13" s="8" t="n">
        <f aca="false">AVERAGEIFS(Результаты!$K$2:$K$37,Результаты!$A$2:$A$37,$A13,Результаты!$D$2:$D$37,B$12)</f>
        <v>0.0192449637823771</v>
      </c>
      <c r="C13" s="8" t="n">
        <f aca="false">AVERAGEIFS(Результаты!$K$2:$K$37,Результаты!$A$2:$A$37,$A13,Результаты!$D$2:$D$37,C$12)</f>
        <v>0.00532921050492172</v>
      </c>
      <c r="D13" s="8" t="n">
        <f aca="false">AVERAGEIFS(Результаты!$K$2:$K$37,Результаты!$A$2:$A$37,$A13,Результаты!$D$2:$D$37,D$12)</f>
        <v>0.00532921050492172</v>
      </c>
    </row>
    <row r="14" customFormat="false" ht="15" hidden="false" customHeight="false" outlineLevel="0" collapsed="false">
      <c r="A14" s="5" t="n">
        <v>300</v>
      </c>
      <c r="B14" s="8" t="n">
        <f aca="false">AVERAGEIFS(Результаты!$K$2:$K$37,Результаты!$A$2:$A$37,$A14,Результаты!$D$2:$D$37,B$12)</f>
        <v>0.0168655029957709</v>
      </c>
      <c r="C14" s="8" t="n">
        <f aca="false">AVERAGEIFS(Результаты!$K$2:$K$37,Результаты!$A$2:$A$37,$A14,Результаты!$D$2:$D$37,C$12)</f>
        <v>0.00624488729142518</v>
      </c>
      <c r="D14" s="8" t="n">
        <f aca="false">AVERAGEIFS(Результаты!$K$2:$K$37,Результаты!$A$2:$A$37,$A14,Результаты!$D$2:$D$37,D$12)</f>
        <v>0.00437920268592888</v>
      </c>
    </row>
    <row r="15" customFormat="false" ht="15" hidden="false" customHeight="false" outlineLevel="0" collapsed="false">
      <c r="A15" s="5" t="n">
        <v>1000</v>
      </c>
      <c r="B15" s="8" t="n">
        <f aca="false">AVERAGEIFS(Результаты!$K$2:$K$37,Результаты!$A$2:$A$37,$A15,Результаты!$D$2:$D$37,B$12)</f>
        <v>0.00277047805211721</v>
      </c>
      <c r="C15" s="8" t="n">
        <f aca="false">AVERAGEIFS(Результаты!$K$2:$K$37,Результаты!$A$2:$A$37,$A15,Результаты!$D$2:$D$37,C$12)</f>
        <v>0.0012946874296059</v>
      </c>
      <c r="D15" s="8" t="n">
        <f aca="false">AVERAGEIFS(Результаты!$K$2:$K$37,Результаты!$A$2:$A$37,$A15,Результаты!$D$2:$D$37,D$12)</f>
        <v>0.0012946874296059</v>
      </c>
    </row>
    <row r="16" customFormat="false" ht="15" hidden="false" customHeight="false" outlineLevel="0" collapsed="false">
      <c r="A16" s="5" t="n">
        <v>3000</v>
      </c>
      <c r="B16" s="8" t="n">
        <f aca="false">AVERAGEIFS(Результаты!$K$2:$K$37,Результаты!$A$2:$A$37,$A16,Результаты!$D$2:$D$37,B$12)</f>
        <v>-0.00447452551310511</v>
      </c>
      <c r="C16" s="8" t="n">
        <f aca="false">AVERAGEIFS(Результаты!$K$2:$K$37,Результаты!$A$2:$A$37,$A16,Результаты!$D$2:$D$37,C$12)</f>
        <v>-0.00533068504162195</v>
      </c>
      <c r="D16" s="8" t="n">
        <f aca="false">AVERAGEIFS(Результаты!$K$2:$K$37,Результаты!$A$2:$A$37,$A16,Результаты!$D$2:$D$37,D$12)</f>
        <v>-0.00582214910466698</v>
      </c>
    </row>
    <row r="18" customFormat="false" ht="15" hidden="false" customHeight="false" outlineLevel="0" collapsed="false">
      <c r="A18" s="3" t="s">
        <v>7</v>
      </c>
    </row>
    <row r="19" customFormat="false" ht="15" hidden="false" customHeight="false" outlineLevel="0" collapsed="false">
      <c r="A19" s="4" t="s">
        <v>3</v>
      </c>
      <c r="B19" s="7" t="n">
        <v>5</v>
      </c>
      <c r="C19" s="7" t="n">
        <v>10</v>
      </c>
      <c r="D19" s="7" t="n">
        <v>15</v>
      </c>
    </row>
    <row r="20" customFormat="false" ht="15" hidden="false" customHeight="false" outlineLevel="0" collapsed="false">
      <c r="A20" s="5" t="n">
        <v>100</v>
      </c>
      <c r="B20" s="9" t="n">
        <f aca="false">AVERAGEIFS(Результаты!$L$2:$L$37,Результаты!$A$2:$A$37,$A20,Результаты!$D$2:$D$37,B$19)</f>
        <v>0.0383384160299078</v>
      </c>
      <c r="C20" s="9" t="n">
        <f aca="false">AVERAGEIFS(Результаты!$L$2:$L$37,Результаты!$A$2:$A$37,$A20,Результаты!$D$2:$D$37,C$19)</f>
        <v>0.0246720080053394</v>
      </c>
      <c r="D20" s="9" t="n">
        <f aca="false">AVERAGEIFS(Результаты!$L$2:$L$37,Результаты!$A$2:$A$37,$A20,Результаты!$D$2:$D$37,D$19)</f>
        <v>0.0246720080053394</v>
      </c>
    </row>
    <row r="21" customFormat="false" ht="15" hidden="false" customHeight="false" outlineLevel="0" collapsed="false">
      <c r="A21" s="5" t="n">
        <v>300</v>
      </c>
      <c r="B21" s="9" t="n">
        <f aca="false">AVERAGEIFS(Результаты!$L$2:$L$37,Результаты!$A$2:$A$37,$A21,Результаты!$D$2:$D$37,B$19)</f>
        <v>0.0265817932817592</v>
      </c>
      <c r="C21" s="9" t="n">
        <f aca="false">AVERAGEIFS(Результаты!$L$2:$L$37,Результаты!$A$2:$A$37,$A21,Результаты!$D$2:$D$37,C$19)</f>
        <v>0.0160661652565532</v>
      </c>
      <c r="D21" s="9" t="n">
        <f aca="false">AVERAGEIFS(Результаты!$L$2:$L$37,Результаты!$A$2:$A$37,$A21,Результаты!$D$2:$D$37,D$19)</f>
        <v>0.0142190299845523</v>
      </c>
    </row>
    <row r="22" customFormat="false" ht="15" hidden="false" customHeight="false" outlineLevel="0" collapsed="false">
      <c r="A22" s="5" t="n">
        <v>1000</v>
      </c>
      <c r="B22" s="9" t="n">
        <f aca="false">AVERAGEIFS(Результаты!$L$2:$L$37,Результаты!$A$2:$A$37,$A22,Результаты!$D$2:$D$37,B$19)</f>
        <v>0.00876637765540127</v>
      </c>
      <c r="C22" s="9" t="n">
        <f aca="false">AVERAGEIFS(Результаты!$L$2:$L$37,Результаты!$A$2:$A$37,$A22,Результаты!$D$2:$D$37,C$19)</f>
        <v>0.00729908605373691</v>
      </c>
      <c r="D22" s="9" t="n">
        <f aca="false">AVERAGEIFS(Результаты!$L$2:$L$37,Результаты!$A$2:$A$37,$A22,Результаты!$D$2:$D$37,D$19)</f>
        <v>0.00729908605373691</v>
      </c>
    </row>
    <row r="23" customFormat="false" ht="15" hidden="false" customHeight="false" outlineLevel="0" collapsed="false">
      <c r="A23" s="5" t="n">
        <v>3000</v>
      </c>
      <c r="B23" s="9" t="n">
        <f aca="false">AVERAGEIFS(Результаты!$L$2:$L$37,Результаты!$A$2:$A$37,$A23,Результаты!$D$2:$D$37,B$19)</f>
        <v>0.00433251493664582</v>
      </c>
      <c r="C23" s="9" t="n">
        <f aca="false">AVERAGEIFS(Результаты!$L$2:$L$37,Результаты!$A$2:$A$37,$A23,Результаты!$D$2:$D$37,C$19)</f>
        <v>0.00348342991084365</v>
      </c>
      <c r="D23" s="9" t="n">
        <f aca="false">AVERAGEIFS(Результаты!$L$2:$L$37,Результаты!$A$2:$A$37,$A23,Результаты!$D$2:$D$37,D$19)</f>
        <v>0.00299671377147523</v>
      </c>
    </row>
    <row r="25" customFormat="false" ht="15" hidden="false" customHeight="false" outlineLevel="0" collapsed="false">
      <c r="A25" s="3" t="s">
        <v>8</v>
      </c>
    </row>
    <row r="26" customFormat="false" ht="15" hidden="false" customHeight="false" outlineLevel="0" collapsed="false">
      <c r="A26" s="4" t="s">
        <v>3</v>
      </c>
      <c r="B26" s="7" t="n">
        <v>5</v>
      </c>
      <c r="C26" s="7" t="n">
        <v>10</v>
      </c>
      <c r="D26" s="7" t="n">
        <v>15</v>
      </c>
    </row>
    <row r="27" customFormat="false" ht="15" hidden="false" customHeight="false" outlineLevel="0" collapsed="false">
      <c r="A27" s="5" t="n">
        <v>100</v>
      </c>
      <c r="B27" s="6" t="n">
        <f aca="false">AVERAGEIFS(Результаты!$F$2:$F$37,Результаты!$A$2:$A$37,$A27,Результаты!$D$2:$D$37,B$26)</f>
        <v>0.0116029580434163</v>
      </c>
      <c r="C27" s="6" t="n">
        <f aca="false">AVERAGEIFS(Результаты!$F$2:$F$37,Результаты!$A$2:$A$37,$A27,Результаты!$D$2:$D$37,C$26)</f>
        <v>0.0204376379648844</v>
      </c>
      <c r="D27" s="6" t="n">
        <f aca="false">AVERAGEIFS(Результаты!$F$2:$F$37,Результаты!$A$2:$A$37,$A27,Результаты!$D$2:$D$37,D$26)</f>
        <v>0.0194187164306641</v>
      </c>
    </row>
    <row r="28" customFormat="false" ht="15" hidden="false" customHeight="false" outlineLevel="0" collapsed="false">
      <c r="A28" s="5" t="n">
        <v>300</v>
      </c>
      <c r="B28" s="6" t="n">
        <f aca="false">AVERAGEIFS(Результаты!$F$2:$F$37,Результаты!$A$2:$A$37,$A28,Результаты!$D$2:$D$37,B$26)</f>
        <v>0.0475883483886719</v>
      </c>
      <c r="C28" s="6" t="n">
        <f aca="false">AVERAGEIFS(Результаты!$F$2:$F$37,Результаты!$A$2:$A$37,$A28,Результаты!$D$2:$D$37,C$26)</f>
        <v>0.0579485893249512</v>
      </c>
      <c r="D28" s="6" t="n">
        <f aca="false">AVERAGEIFS(Результаты!$F$2:$F$37,Результаты!$A$2:$A$37,$A28,Результаты!$D$2:$D$37,D$26)</f>
        <v>0.141841252644857</v>
      </c>
    </row>
    <row r="29" customFormat="false" ht="15" hidden="false" customHeight="false" outlineLevel="0" collapsed="false">
      <c r="A29" s="5" t="n">
        <v>1000</v>
      </c>
      <c r="B29" s="6" t="n">
        <f aca="false">AVERAGEIFS(Результаты!$F$2:$F$37,Результаты!$A$2:$A$37,$A29,Результаты!$D$2:$D$37,B$26)</f>
        <v>0.336599111557007</v>
      </c>
      <c r="C29" s="6" t="n">
        <f aca="false">AVERAGEIFS(Результаты!$F$2:$F$37,Результаты!$A$2:$A$37,$A29,Результаты!$D$2:$D$37,C$26)</f>
        <v>0.321497519810994</v>
      </c>
      <c r="D29" s="6" t="n">
        <f aca="false">AVERAGEIFS(Результаты!$F$2:$F$37,Результаты!$A$2:$A$37,$A29,Результаты!$D$2:$D$37,D$26)</f>
        <v>0.358565489451091</v>
      </c>
    </row>
    <row r="30" customFormat="false" ht="15" hidden="false" customHeight="false" outlineLevel="0" collapsed="false">
      <c r="A30" s="5" t="n">
        <v>3000</v>
      </c>
      <c r="B30" s="6" t="n">
        <f aca="false">AVERAGEIFS(Результаты!$F$2:$F$37,Результаты!$A$2:$A$37,$A30,Результаты!$D$2:$D$37,B$26)</f>
        <v>4.91836301485698</v>
      </c>
      <c r="C30" s="6" t="n">
        <f aca="false">AVERAGEIFS(Результаты!$F$2:$F$37,Результаты!$A$2:$A$37,$A30,Результаты!$D$2:$D$37,C$26)</f>
        <v>4.39083480834961</v>
      </c>
      <c r="D30" s="6" t="n">
        <f aca="false">AVERAGEIFS(Результаты!$F$2:$F$37,Результаты!$A$2:$A$37,$A30,Результаты!$D$2:$D$37,D$26)</f>
        <v>4.17191783587138</v>
      </c>
    </row>
    <row r="32" customFormat="false" ht="15" hidden="false" customHeight="false" outlineLevel="0" collapsed="false">
      <c r="A32" s="3" t="s">
        <v>9</v>
      </c>
    </row>
    <row r="33" customFormat="false" ht="15" hidden="false" customHeight="false" outlineLevel="0" collapsed="false">
      <c r="A33" s="4" t="s">
        <v>3</v>
      </c>
      <c r="B33" s="7" t="n">
        <v>5</v>
      </c>
      <c r="C33" s="7" t="n">
        <v>10</v>
      </c>
      <c r="D33" s="7" t="n">
        <v>15</v>
      </c>
    </row>
    <row r="34" customFormat="false" ht="15" hidden="false" customHeight="false" outlineLevel="0" collapsed="false">
      <c r="A34" s="5" t="n">
        <v>100</v>
      </c>
      <c r="B34" s="10" t="n">
        <f aca="false">AVERAGEIFS(Результаты!$N$2:$N$37,Результаты!$A$2:$A$37,$A34,Результаты!$D$2:$D$37,B$33)</f>
        <v>16</v>
      </c>
      <c r="C34" s="10" t="n">
        <f aca="false">AVERAGEIFS(Результаты!$N$2:$N$37,Результаты!$A$2:$A$37,$A34,Результаты!$D$2:$D$37,C$33)</f>
        <v>2</v>
      </c>
      <c r="D34" s="10" t="n">
        <f aca="false">AVERAGEIFS(Результаты!$N$2:$N$37,Результаты!$A$2:$A$37,$A34,Результаты!$D$2:$D$37,D$33)</f>
        <v>2</v>
      </c>
    </row>
    <row r="35" customFormat="false" ht="15" hidden="false" customHeight="false" outlineLevel="0" collapsed="false">
      <c r="A35" s="5" t="n">
        <v>300</v>
      </c>
      <c r="B35" s="10" t="n">
        <f aca="false">AVERAGEIFS(Результаты!$N$2:$N$37,Результаты!$A$2:$A$37,$A35,Результаты!$D$2:$D$37,B$33)</f>
        <v>60.3333333333333</v>
      </c>
      <c r="C35" s="10" t="n">
        <f aca="false">AVERAGEIFS(Результаты!$N$2:$N$37,Результаты!$A$2:$A$37,$A35,Результаты!$D$2:$D$37,C$33)</f>
        <v>28</v>
      </c>
      <c r="D35" s="10" t="n">
        <f aca="false">AVERAGEIFS(Результаты!$N$2:$N$37,Результаты!$A$2:$A$37,$A35,Результаты!$D$2:$D$37,D$33)</f>
        <v>7</v>
      </c>
    </row>
    <row r="36" customFormat="false" ht="15" hidden="false" customHeight="false" outlineLevel="0" collapsed="false">
      <c r="A36" s="5" t="n">
        <v>1000</v>
      </c>
      <c r="B36" s="10" t="n">
        <f aca="false">AVERAGEIFS(Результаты!$N$2:$N$37,Результаты!$A$2:$A$37,$A36,Результаты!$D$2:$D$37,B$33)</f>
        <v>62.6666666666667</v>
      </c>
      <c r="C36" s="10" t="n">
        <f aca="false">AVERAGEIFS(Результаты!$N$2:$N$37,Результаты!$A$2:$A$37,$A36,Результаты!$D$2:$D$37,C$33)</f>
        <v>45</v>
      </c>
      <c r="D36" s="10" t="n">
        <f aca="false">AVERAGEIFS(Результаты!$N$2:$N$37,Результаты!$A$2:$A$37,$A36,Результаты!$D$2:$D$37,D$33)</f>
        <v>33</v>
      </c>
    </row>
    <row r="37" customFormat="false" ht="15" hidden="false" customHeight="false" outlineLevel="0" collapsed="false">
      <c r="A37" s="5" t="n">
        <v>3000</v>
      </c>
      <c r="B37" s="10" t="n">
        <f aca="false">AVERAGEIFS(Результаты!$N$2:$N$37,Результаты!$A$2:$A$37,$A37,Результаты!$D$2:$D$37,B$33)</f>
        <v>95</v>
      </c>
      <c r="C37" s="10" t="n">
        <f aca="false">AVERAGEIFS(Результаты!$N$2:$N$37,Результаты!$A$2:$A$37,$A37,Результаты!$D$2:$D$37,C$33)</f>
        <v>74</v>
      </c>
      <c r="D37" s="10" t="n">
        <f aca="false">AVERAGEIFS(Результаты!$N$2:$N$37,Результаты!$A$2:$A$37,$A37,Результаты!$D$2:$D$37,D$33)</f>
        <v>60.3333333333333</v>
      </c>
    </row>
    <row r="39" customFormat="false" ht="15" hidden="false" customHeight="false" outlineLevel="0" collapsed="false">
      <c r="A39" s="3" t="s">
        <v>10</v>
      </c>
    </row>
    <row r="40" customFormat="false" ht="15" hidden="false" customHeight="false" outlineLevel="0" collapsed="false">
      <c r="A40" s="4" t="s">
        <v>3</v>
      </c>
      <c r="B40" s="7" t="n">
        <v>5</v>
      </c>
      <c r="C40" s="7" t="n">
        <v>10</v>
      </c>
      <c r="D40" s="7" t="n">
        <v>15</v>
      </c>
    </row>
    <row r="41" customFormat="false" ht="15" hidden="false" customHeight="false" outlineLevel="0" collapsed="false">
      <c r="A41" s="5" t="n">
        <v>100</v>
      </c>
      <c r="B41" s="6" t="n">
        <f aca="false">AVERAGEIFS(Результаты!$O$2:$O$37,Результаты!$A$2:$A$37,$A41,Результаты!$D$2:$D$37,B$40)</f>
        <v>6.66666666666667</v>
      </c>
      <c r="C41" s="6" t="n">
        <f aca="false">AVERAGEIFS(Результаты!$O$2:$O$37,Результаты!$A$2:$A$37,$A41,Результаты!$D$2:$D$37,C$40)</f>
        <v>0</v>
      </c>
      <c r="D41" s="6" t="n">
        <f aca="false">AVERAGEIFS(Результаты!$O$2:$O$37,Результаты!$A$2:$A$37,$A41,Результаты!$D$2:$D$37,D$40)</f>
        <v>0</v>
      </c>
    </row>
    <row r="42" customFormat="false" ht="15" hidden="false" customHeight="false" outlineLevel="0" collapsed="false">
      <c r="A42" s="5" t="n">
        <v>300</v>
      </c>
      <c r="B42" s="6" t="n">
        <f aca="false">AVERAGEIFS(Результаты!$O$2:$O$37,Результаты!$A$2:$A$37,$A42,Результаты!$D$2:$D$37,B$40)</f>
        <v>31.6666666666667</v>
      </c>
      <c r="C42" s="6" t="n">
        <f aca="false">AVERAGEIFS(Результаты!$O$2:$O$37,Результаты!$A$2:$A$37,$A42,Результаты!$D$2:$D$37,C$40)</f>
        <v>10</v>
      </c>
      <c r="D42" s="6" t="n">
        <f aca="false">AVERAGEIFS(Результаты!$O$2:$O$37,Результаты!$A$2:$A$37,$A42,Результаты!$D$2:$D$37,D$40)</f>
        <v>0</v>
      </c>
    </row>
    <row r="43" customFormat="false" ht="15" hidden="false" customHeight="false" outlineLevel="0" collapsed="false">
      <c r="A43" s="5" t="n">
        <v>1000</v>
      </c>
      <c r="B43" s="6" t="n">
        <f aca="false">AVERAGEIFS(Результаты!$O$2:$O$37,Результаты!$A$2:$A$37,$A43,Результаты!$D$2:$D$37,B$40)</f>
        <v>13.3333333333333</v>
      </c>
      <c r="C43" s="6" t="n">
        <f aca="false">AVERAGEIFS(Результаты!$O$2:$O$37,Результаты!$A$2:$A$37,$A43,Результаты!$D$2:$D$37,C$40)</f>
        <v>5</v>
      </c>
      <c r="D43" s="6" t="n">
        <f aca="false">AVERAGEIFS(Результаты!$O$2:$O$37,Результаты!$A$2:$A$37,$A43,Результаты!$D$2:$D$37,D$40)</f>
        <v>0</v>
      </c>
    </row>
    <row r="44" customFormat="false" ht="15" hidden="false" customHeight="false" outlineLevel="0" collapsed="false">
      <c r="A44" s="5" t="n">
        <v>3000</v>
      </c>
      <c r="B44" s="6" t="n">
        <f aca="false">AVERAGEIFS(Результаты!$O$2:$O$37,Результаты!$A$2:$A$37,$A44,Результаты!$D$2:$D$37,B$40)</f>
        <v>18.6666666666667</v>
      </c>
      <c r="C44" s="6" t="n">
        <f aca="false">AVERAGEIFS(Результаты!$O$2:$O$37,Результаты!$A$2:$A$37,$A44,Результаты!$D$2:$D$37,C$40)</f>
        <v>7</v>
      </c>
      <c r="D44" s="6" t="n">
        <f aca="false">AVERAGEIFS(Результаты!$O$2:$O$37,Результаты!$A$2:$A$37,$A44,Результаты!$D$2:$D$37,D$40)</f>
        <v>2</v>
      </c>
    </row>
    <row r="46" customFormat="false" ht="15" hidden="false" customHeight="false" outlineLevel="0" collapsed="false">
      <c r="A46" s="3" t="s">
        <v>11</v>
      </c>
    </row>
    <row r="47" customFormat="false" ht="15" hidden="false" customHeight="false" outlineLevel="0" collapsed="false">
      <c r="A47" s="4" t="s">
        <v>3</v>
      </c>
      <c r="B47" s="7" t="n">
        <v>5</v>
      </c>
      <c r="C47" s="7" t="n">
        <v>10</v>
      </c>
      <c r="D47" s="7" t="n">
        <v>15</v>
      </c>
    </row>
    <row r="48" customFormat="false" ht="15" hidden="false" customHeight="false" outlineLevel="0" collapsed="false">
      <c r="A48" s="5" t="n">
        <v>100</v>
      </c>
      <c r="B48" s="6" t="n">
        <f aca="false">AVERAGEIFS(Результаты!$P$2:$P$37,Результаты!$A$2:$A$37,$A48,Результаты!$D$2:$D$37,B$47)</f>
        <v>1.33333333333333</v>
      </c>
      <c r="C48" s="6" t="n">
        <f aca="false">AVERAGEIFS(Результаты!$P$2:$P$37,Результаты!$A$2:$A$37,$A48,Результаты!$D$2:$D$37,C$47)</f>
        <v>0</v>
      </c>
      <c r="D48" s="6" t="n">
        <f aca="false">AVERAGEIFS(Результаты!$P$2:$P$37,Результаты!$A$2:$A$37,$A48,Результаты!$D$2:$D$37,D$47)</f>
        <v>0</v>
      </c>
    </row>
    <row r="49" customFormat="false" ht="15" hidden="false" customHeight="false" outlineLevel="0" collapsed="false">
      <c r="A49" s="5" t="n">
        <v>300</v>
      </c>
      <c r="B49" s="6" t="n">
        <f aca="false">AVERAGEIFS(Результаты!$P$2:$P$37,Результаты!$A$2:$A$37,$A49,Результаты!$D$2:$D$37,B$47)</f>
        <v>6.33333333333333</v>
      </c>
      <c r="C49" s="6" t="n">
        <f aca="false">AVERAGEIFS(Результаты!$P$2:$P$37,Результаты!$A$2:$A$37,$A49,Результаты!$D$2:$D$37,C$47)</f>
        <v>2</v>
      </c>
      <c r="D49" s="6" t="n">
        <f aca="false">AVERAGEIFS(Результаты!$P$2:$P$37,Результаты!$A$2:$A$37,$A49,Результаты!$D$2:$D$37,D$47)</f>
        <v>0</v>
      </c>
    </row>
    <row r="50" customFormat="false" ht="15" hidden="false" customHeight="false" outlineLevel="0" collapsed="false">
      <c r="A50" s="5" t="n">
        <v>1000</v>
      </c>
      <c r="B50" s="6" t="n">
        <f aca="false">AVERAGEIFS(Результаты!$P$2:$P$37,Результаты!$A$2:$A$37,$A50,Результаты!$D$2:$D$37,B$47)</f>
        <v>2.66666666666667</v>
      </c>
      <c r="C50" s="6" t="n">
        <f aca="false">AVERAGEIFS(Результаты!$P$2:$P$37,Результаты!$A$2:$A$37,$A50,Результаты!$D$2:$D$37,C$47)</f>
        <v>1</v>
      </c>
      <c r="D50" s="6" t="n">
        <f aca="false">AVERAGEIFS(Результаты!$P$2:$P$37,Результаты!$A$2:$A$37,$A50,Результаты!$D$2:$D$37,D$47)</f>
        <v>0</v>
      </c>
    </row>
    <row r="51" customFormat="false" ht="15" hidden="false" customHeight="false" outlineLevel="0" collapsed="false">
      <c r="A51" s="5" t="n">
        <v>3000</v>
      </c>
      <c r="B51" s="6" t="n">
        <f aca="false">AVERAGEIFS(Результаты!$P$2:$P$37,Результаты!$A$2:$A$37,$A51,Результаты!$D$2:$D$37,B$47)</f>
        <v>3.66666666666667</v>
      </c>
      <c r="C51" s="6" t="n">
        <f aca="false">AVERAGEIFS(Результаты!$P$2:$P$37,Результаты!$A$2:$A$37,$A51,Результаты!$D$2:$D$37,C$47)</f>
        <v>1.33333333333333</v>
      </c>
      <c r="D51" s="6" t="n">
        <f aca="false">AVERAGEIFS(Результаты!$P$2:$P$37,Результаты!$A$2:$A$37,$A51,Результаты!$D$2:$D$37,D$47)</f>
        <v>0.333333333333333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7"/>
    <col collapsed="false" customWidth="true" hidden="false" outlineLevel="0" max="4" min="4" style="0" width="6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5"/>
    <col collapsed="false" customWidth="true" hidden="false" outlineLevel="0" max="14" min="14" style="0" width="11"/>
    <col collapsed="false" customWidth="true" hidden="false" outlineLevel="0" max="16" min="15" style="0" width="12"/>
    <col collapsed="false" customWidth="true" hidden="false" outlineLevel="0" max="17" min="17" style="0" width="9"/>
  </cols>
  <sheetData>
    <row r="1" customFormat="false" ht="43.5" hidden="false" customHeight="true" outlineLevel="0" collapsed="false">
      <c r="A1" s="4" t="s">
        <v>3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</row>
    <row r="2" customFormat="false" ht="15" hidden="false" customHeight="false" outlineLevel="0" collapsed="false">
      <c r="A2" s="11" t="n">
        <v>100</v>
      </c>
      <c r="B2" s="11" t="n">
        <v>15</v>
      </c>
      <c r="C2" s="11" t="n">
        <v>1</v>
      </c>
      <c r="D2" s="11" t="n">
        <v>5</v>
      </c>
      <c r="E2" s="12" t="n">
        <v>182</v>
      </c>
      <c r="F2" s="13" t="n">
        <v>0.0149500370025635</v>
      </c>
      <c r="G2" s="12" t="n">
        <v>188</v>
      </c>
      <c r="H2" s="12" t="n">
        <v>188</v>
      </c>
      <c r="I2" s="11" t="s">
        <v>28</v>
      </c>
      <c r="J2" s="14" t="n">
        <v>0.48953652381897</v>
      </c>
      <c r="K2" s="15" t="n">
        <f aca="false">(G2-E2)/ABS(G2)</f>
        <v>0.0319148936170213</v>
      </c>
      <c r="L2" s="16" t="n">
        <v>0.0476190204141884</v>
      </c>
      <c r="M2" s="17" t="n">
        <f aca="false">(H2-E2)/H2</f>
        <v>0.0319148936170213</v>
      </c>
      <c r="N2" s="11" t="n">
        <v>19</v>
      </c>
      <c r="O2" s="11" t="n">
        <v>10</v>
      </c>
      <c r="P2" s="11" t="n">
        <v>2</v>
      </c>
      <c r="Q2" s="11" t="n">
        <v>0</v>
      </c>
    </row>
    <row r="3" customFormat="false" ht="15" hidden="false" customHeight="false" outlineLevel="0" collapsed="false">
      <c r="A3" s="11" t="n">
        <v>100</v>
      </c>
      <c r="B3" s="11" t="n">
        <v>15</v>
      </c>
      <c r="C3" s="11" t="n">
        <v>1</v>
      </c>
      <c r="D3" s="11" t="n">
        <v>10</v>
      </c>
      <c r="E3" s="12" t="n">
        <v>187</v>
      </c>
      <c r="F3" s="13" t="n">
        <v>0.0151920318603516</v>
      </c>
      <c r="G3" s="12" t="n">
        <v>188</v>
      </c>
      <c r="H3" s="12" t="n">
        <v>188</v>
      </c>
      <c r="I3" s="11" t="s">
        <v>28</v>
      </c>
      <c r="J3" s="14" t="n">
        <v>0.48953652381897</v>
      </c>
      <c r="K3" s="15" t="n">
        <f aca="false">(G3-E3)/ABS(G3)</f>
        <v>0.00531914893617021</v>
      </c>
      <c r="L3" s="16" t="n">
        <v>0.0214547077882046</v>
      </c>
      <c r="M3" s="17" t="n">
        <f aca="false">(H3-E3)/H3</f>
        <v>0.00531914893617021</v>
      </c>
      <c r="N3" s="11" t="n">
        <v>2</v>
      </c>
      <c r="O3" s="11" t="n">
        <v>0</v>
      </c>
      <c r="P3" s="11" t="n">
        <v>0</v>
      </c>
      <c r="Q3" s="11" t="n">
        <v>0</v>
      </c>
    </row>
    <row r="4" customFormat="false" ht="15" hidden="false" customHeight="false" outlineLevel="0" collapsed="false">
      <c r="A4" s="11" t="n">
        <v>100</v>
      </c>
      <c r="B4" s="11" t="n">
        <v>15</v>
      </c>
      <c r="C4" s="11" t="n">
        <v>1</v>
      </c>
      <c r="D4" s="11" t="n">
        <v>15</v>
      </c>
      <c r="E4" s="12" t="n">
        <v>187</v>
      </c>
      <c r="F4" s="13" t="n">
        <v>0.0144412517547607</v>
      </c>
      <c r="G4" s="12" t="n">
        <v>188</v>
      </c>
      <c r="H4" s="12" t="n">
        <v>188</v>
      </c>
      <c r="I4" s="11" t="s">
        <v>28</v>
      </c>
      <c r="J4" s="14" t="n">
        <v>0.48953652381897</v>
      </c>
      <c r="K4" s="15" t="n">
        <f aca="false">(G4-E4)/ABS(G4)</f>
        <v>0.00531914893617021</v>
      </c>
      <c r="L4" s="16" t="n">
        <v>0.0214547077882046</v>
      </c>
      <c r="M4" s="17" t="n">
        <f aca="false">(H4-E4)/H4</f>
        <v>0.00531914893617021</v>
      </c>
      <c r="N4" s="11" t="n">
        <v>2</v>
      </c>
      <c r="O4" s="11" t="n">
        <v>0</v>
      </c>
      <c r="P4" s="11" t="n">
        <v>0</v>
      </c>
      <c r="Q4" s="11" t="n">
        <v>0</v>
      </c>
    </row>
    <row r="5" customFormat="false" ht="15" hidden="false" customHeight="false" outlineLevel="0" collapsed="false">
      <c r="A5" s="11" t="n">
        <v>100</v>
      </c>
      <c r="B5" s="11" t="n">
        <v>15</v>
      </c>
      <c r="C5" s="11" t="n">
        <v>2</v>
      </c>
      <c r="D5" s="11" t="n">
        <v>5</v>
      </c>
      <c r="E5" s="12" t="n">
        <v>194</v>
      </c>
      <c r="F5" s="13" t="n">
        <v>0.00883984565734863</v>
      </c>
      <c r="G5" s="12" t="n">
        <v>198</v>
      </c>
      <c r="H5" s="12" t="n">
        <v>198</v>
      </c>
      <c r="I5" s="11" t="s">
        <v>28</v>
      </c>
      <c r="J5" s="14" t="n">
        <v>1.19890022277832</v>
      </c>
      <c r="K5" s="15" t="n">
        <f aca="false">(G5-E5)/ABS(G5)</f>
        <v>0.0202020202020202</v>
      </c>
      <c r="L5" s="16" t="n">
        <v>0.0406757263806856</v>
      </c>
      <c r="M5" s="17" t="n">
        <f aca="false">(H5-E5)/H5</f>
        <v>0.0202020202020202</v>
      </c>
      <c r="N5" s="11" t="n">
        <v>15</v>
      </c>
      <c r="O5" s="11" t="n">
        <v>5</v>
      </c>
      <c r="P5" s="11" t="n">
        <v>1</v>
      </c>
      <c r="Q5" s="11" t="n">
        <v>0</v>
      </c>
    </row>
    <row r="6" customFormat="false" ht="15" hidden="false" customHeight="false" outlineLevel="0" collapsed="false">
      <c r="A6" s="11" t="n">
        <v>100</v>
      </c>
      <c r="B6" s="11" t="n">
        <v>15</v>
      </c>
      <c r="C6" s="11" t="n">
        <v>2</v>
      </c>
      <c r="D6" s="11" t="n">
        <v>10</v>
      </c>
      <c r="E6" s="12" t="n">
        <v>197</v>
      </c>
      <c r="F6" s="13" t="n">
        <v>0.0261173248291016</v>
      </c>
      <c r="G6" s="12" t="n">
        <v>198</v>
      </c>
      <c r="H6" s="12" t="n">
        <v>198</v>
      </c>
      <c r="I6" s="11" t="s">
        <v>28</v>
      </c>
      <c r="J6" s="14" t="n">
        <v>1.19890022277832</v>
      </c>
      <c r="K6" s="15" t="n">
        <f aca="false">(G6-E6)/ABS(G6)</f>
        <v>0.00505050505050505</v>
      </c>
      <c r="L6" s="16" t="n">
        <v>0.0258408149329642</v>
      </c>
      <c r="M6" s="17" t="n">
        <f aca="false">(H6-E6)/H6</f>
        <v>0.00505050505050505</v>
      </c>
      <c r="N6" s="11" t="n">
        <v>2</v>
      </c>
      <c r="O6" s="11" t="n">
        <v>0</v>
      </c>
      <c r="P6" s="11" t="n">
        <v>0</v>
      </c>
      <c r="Q6" s="11" t="n">
        <v>0</v>
      </c>
    </row>
    <row r="7" customFormat="false" ht="15" hidden="false" customHeight="false" outlineLevel="0" collapsed="false">
      <c r="A7" s="11" t="n">
        <v>100</v>
      </c>
      <c r="B7" s="11" t="n">
        <v>15</v>
      </c>
      <c r="C7" s="11" t="n">
        <v>2</v>
      </c>
      <c r="D7" s="11" t="n">
        <v>15</v>
      </c>
      <c r="E7" s="12" t="n">
        <v>197</v>
      </c>
      <c r="F7" s="13" t="n">
        <v>0.0235414505004883</v>
      </c>
      <c r="G7" s="12" t="n">
        <v>198</v>
      </c>
      <c r="H7" s="12" t="n">
        <v>198</v>
      </c>
      <c r="I7" s="11" t="s">
        <v>28</v>
      </c>
      <c r="J7" s="14" t="n">
        <v>1.19890022277832</v>
      </c>
      <c r="K7" s="15" t="n">
        <f aca="false">(G7-E7)/ABS(G7)</f>
        <v>0.00505050505050505</v>
      </c>
      <c r="L7" s="16" t="n">
        <v>0.0258408149329642</v>
      </c>
      <c r="M7" s="17" t="n">
        <f aca="false">(H7-E7)/H7</f>
        <v>0.00505050505050505</v>
      </c>
      <c r="N7" s="11" t="n">
        <v>2</v>
      </c>
      <c r="O7" s="11" t="n">
        <v>0</v>
      </c>
      <c r="P7" s="11" t="n">
        <v>0</v>
      </c>
      <c r="Q7" s="11" t="n">
        <v>0</v>
      </c>
    </row>
    <row r="8" customFormat="false" ht="15" hidden="false" customHeight="false" outlineLevel="0" collapsed="false">
      <c r="A8" s="11" t="n">
        <v>100</v>
      </c>
      <c r="B8" s="11" t="n">
        <v>15</v>
      </c>
      <c r="C8" s="11" t="n">
        <v>3</v>
      </c>
      <c r="D8" s="11" t="n">
        <v>5</v>
      </c>
      <c r="E8" s="12" t="n">
        <v>177</v>
      </c>
      <c r="F8" s="13" t="n">
        <v>0.0110189914703369</v>
      </c>
      <c r="G8" s="12" t="n">
        <v>178</v>
      </c>
      <c r="H8" s="12" t="n">
        <v>178</v>
      </c>
      <c r="I8" s="11" t="s">
        <v>28</v>
      </c>
      <c r="J8" s="14" t="n">
        <v>1.32274866104126</v>
      </c>
      <c r="K8" s="15" t="n">
        <f aca="false">(G8-E8)/ABS(G8)</f>
        <v>0.00561797752808989</v>
      </c>
      <c r="L8" s="16" t="n">
        <v>0.0267205012948493</v>
      </c>
      <c r="M8" s="17" t="n">
        <f aca="false">(H8-E8)/H8</f>
        <v>0.00561797752808989</v>
      </c>
      <c r="N8" s="11" t="n">
        <v>14</v>
      </c>
      <c r="O8" s="11" t="n">
        <v>5</v>
      </c>
      <c r="P8" s="11" t="n">
        <v>1</v>
      </c>
      <c r="Q8" s="11" t="n">
        <v>0</v>
      </c>
    </row>
    <row r="9" customFormat="false" ht="15" hidden="false" customHeight="false" outlineLevel="0" collapsed="false">
      <c r="A9" s="11" t="n">
        <v>100</v>
      </c>
      <c r="B9" s="11" t="n">
        <v>15</v>
      </c>
      <c r="C9" s="11" t="n">
        <v>3</v>
      </c>
      <c r="D9" s="11" t="n">
        <v>10</v>
      </c>
      <c r="E9" s="12" t="n">
        <v>177</v>
      </c>
      <c r="F9" s="13" t="n">
        <v>0.0200035572052002</v>
      </c>
      <c r="G9" s="12" t="n">
        <v>178</v>
      </c>
      <c r="H9" s="12" t="n">
        <v>178</v>
      </c>
      <c r="I9" s="11" t="s">
        <v>28</v>
      </c>
      <c r="J9" s="14" t="n">
        <v>1.32274866104126</v>
      </c>
      <c r="K9" s="15" t="n">
        <f aca="false">(G9-E9)/ABS(G9)</f>
        <v>0.00561797752808989</v>
      </c>
      <c r="L9" s="16" t="n">
        <v>0.0267205012948493</v>
      </c>
      <c r="M9" s="17" t="n">
        <f aca="false">(H9-E9)/H9</f>
        <v>0.00561797752808989</v>
      </c>
      <c r="N9" s="11" t="n">
        <v>2</v>
      </c>
      <c r="O9" s="11" t="n">
        <v>0</v>
      </c>
      <c r="P9" s="11" t="n">
        <v>0</v>
      </c>
      <c r="Q9" s="11" t="n">
        <v>0</v>
      </c>
    </row>
    <row r="10" customFormat="false" ht="15" hidden="false" customHeight="false" outlineLevel="0" collapsed="false">
      <c r="A10" s="11" t="n">
        <v>100</v>
      </c>
      <c r="B10" s="11" t="n">
        <v>15</v>
      </c>
      <c r="C10" s="11" t="n">
        <v>3</v>
      </c>
      <c r="D10" s="11" t="n">
        <v>15</v>
      </c>
      <c r="E10" s="12" t="n">
        <v>177</v>
      </c>
      <c r="F10" s="13" t="n">
        <v>0.0202734470367432</v>
      </c>
      <c r="G10" s="12" t="n">
        <v>178</v>
      </c>
      <c r="H10" s="12" t="n">
        <v>178</v>
      </c>
      <c r="I10" s="11" t="s">
        <v>28</v>
      </c>
      <c r="J10" s="14" t="n">
        <v>1.32274866104126</v>
      </c>
      <c r="K10" s="15" t="n">
        <f aca="false">(G10-E10)/ABS(G10)</f>
        <v>0.00561797752808989</v>
      </c>
      <c r="L10" s="16" t="n">
        <v>0.0267205012948493</v>
      </c>
      <c r="M10" s="17" t="n">
        <f aca="false">(H10-E10)/H10</f>
        <v>0.00561797752808989</v>
      </c>
      <c r="N10" s="11" t="n">
        <v>2</v>
      </c>
      <c r="O10" s="11" t="n">
        <v>0</v>
      </c>
      <c r="P10" s="11" t="n">
        <v>0</v>
      </c>
      <c r="Q10" s="11" t="n">
        <v>0</v>
      </c>
    </row>
    <row r="11" customFormat="false" ht="15" hidden="false" customHeight="false" outlineLevel="0" collapsed="false">
      <c r="A11" s="11" t="n">
        <v>300</v>
      </c>
      <c r="B11" s="11" t="n">
        <v>45</v>
      </c>
      <c r="C11" s="11" t="n">
        <v>1</v>
      </c>
      <c r="D11" s="11" t="n">
        <v>5</v>
      </c>
      <c r="E11" s="12" t="n">
        <v>529</v>
      </c>
      <c r="F11" s="13" t="n">
        <v>0.0486624240875244</v>
      </c>
      <c r="G11" s="12" t="n">
        <v>538</v>
      </c>
      <c r="H11" s="12" t="n">
        <v>543</v>
      </c>
      <c r="I11" s="11" t="s">
        <v>29</v>
      </c>
      <c r="J11" s="14" t="n">
        <v>30.0092432498932</v>
      </c>
      <c r="K11" s="15" t="n">
        <f aca="false">(G11-E11)/ABS(G11)</f>
        <v>0.016728624535316</v>
      </c>
      <c r="L11" s="16" t="n">
        <v>0.026761284451058</v>
      </c>
      <c r="M11" s="17" t="n">
        <f aca="false">(H11-E11)/H11</f>
        <v>0.0257826887661142</v>
      </c>
      <c r="N11" s="11" t="n">
        <v>59</v>
      </c>
      <c r="O11" s="11" t="n">
        <v>30</v>
      </c>
      <c r="P11" s="11" t="n">
        <v>6</v>
      </c>
      <c r="Q11" s="11" t="n">
        <v>0</v>
      </c>
    </row>
    <row r="12" customFormat="false" ht="15" hidden="false" customHeight="false" outlineLevel="0" collapsed="false">
      <c r="A12" s="11" t="n">
        <v>300</v>
      </c>
      <c r="B12" s="11" t="n">
        <v>45</v>
      </c>
      <c r="C12" s="11" t="n">
        <v>1</v>
      </c>
      <c r="D12" s="11" t="n">
        <v>10</v>
      </c>
      <c r="E12" s="12" t="n">
        <v>535</v>
      </c>
      <c r="F12" s="13" t="n">
        <v>0.0540733337402344</v>
      </c>
      <c r="G12" s="12" t="n">
        <v>538</v>
      </c>
      <c r="H12" s="12" t="n">
        <v>543</v>
      </c>
      <c r="I12" s="11" t="s">
        <v>29</v>
      </c>
      <c r="J12" s="14" t="n">
        <v>30.0092432498932</v>
      </c>
      <c r="K12" s="15" t="n">
        <f aca="false">(G12-E12)/ABS(G12)</f>
        <v>0.00557620817843866</v>
      </c>
      <c r="L12" s="16" t="n">
        <v>0.0157226600781022</v>
      </c>
      <c r="M12" s="17" t="n">
        <f aca="false">(H12-E12)/H12</f>
        <v>0.0147329650092081</v>
      </c>
      <c r="N12" s="11" t="n">
        <v>30</v>
      </c>
      <c r="O12" s="11" t="n">
        <v>10</v>
      </c>
      <c r="P12" s="11" t="n">
        <v>2</v>
      </c>
      <c r="Q12" s="11" t="n">
        <v>0</v>
      </c>
    </row>
    <row r="13" customFormat="false" ht="15" hidden="false" customHeight="false" outlineLevel="0" collapsed="false">
      <c r="A13" s="11" t="n">
        <v>300</v>
      </c>
      <c r="B13" s="11" t="n">
        <v>45</v>
      </c>
      <c r="C13" s="11" t="n">
        <v>1</v>
      </c>
      <c r="D13" s="11" t="n">
        <v>15</v>
      </c>
      <c r="E13" s="12" t="n">
        <v>536</v>
      </c>
      <c r="F13" s="13" t="n">
        <v>0.135847568511963</v>
      </c>
      <c r="G13" s="12" t="n">
        <v>538</v>
      </c>
      <c r="H13" s="12" t="n">
        <v>543</v>
      </c>
      <c r="I13" s="11" t="s">
        <v>29</v>
      </c>
      <c r="J13" s="14" t="n">
        <v>30.0092432498932</v>
      </c>
      <c r="K13" s="15" t="n">
        <f aca="false">(G13-E13)/ABS(G13)</f>
        <v>0.00371747211895911</v>
      </c>
      <c r="L13" s="16" t="n">
        <v>0.0138828893492762</v>
      </c>
      <c r="M13" s="17" t="n">
        <f aca="false">(H13-E13)/H13</f>
        <v>0.0128913443830571</v>
      </c>
      <c r="N13" s="11" t="n">
        <v>11</v>
      </c>
      <c r="O13" s="11" t="n">
        <v>0</v>
      </c>
      <c r="P13" s="11" t="n">
        <v>0</v>
      </c>
      <c r="Q13" s="11" t="n">
        <v>0</v>
      </c>
    </row>
    <row r="14" customFormat="false" ht="15" hidden="false" customHeight="false" outlineLevel="0" collapsed="false">
      <c r="A14" s="11" t="n">
        <v>300</v>
      </c>
      <c r="B14" s="11" t="n">
        <v>45</v>
      </c>
      <c r="C14" s="11" t="n">
        <v>2</v>
      </c>
      <c r="D14" s="11" t="n">
        <v>5</v>
      </c>
      <c r="E14" s="12" t="n">
        <v>519</v>
      </c>
      <c r="F14" s="13" t="n">
        <v>0.0475912094116211</v>
      </c>
      <c r="G14" s="12" t="n">
        <v>528</v>
      </c>
      <c r="H14" s="12" t="n">
        <v>532</v>
      </c>
      <c r="I14" s="11" t="s">
        <v>29</v>
      </c>
      <c r="J14" s="14" t="n">
        <v>30.0063242912293</v>
      </c>
      <c r="K14" s="15" t="n">
        <f aca="false">(G14-E14)/ABS(G14)</f>
        <v>0.0170454545454545</v>
      </c>
      <c r="L14" s="16" t="n">
        <v>0.0265141233216965</v>
      </c>
      <c r="M14" s="17" t="n">
        <f aca="false">(H14-E14)/H14</f>
        <v>0.0244360902255639</v>
      </c>
      <c r="N14" s="11" t="n">
        <v>63</v>
      </c>
      <c r="O14" s="11" t="n">
        <v>35</v>
      </c>
      <c r="P14" s="11" t="n">
        <v>7</v>
      </c>
      <c r="Q14" s="11" t="n">
        <v>0</v>
      </c>
    </row>
    <row r="15" customFormat="false" ht="15" hidden="false" customHeight="false" outlineLevel="0" collapsed="false">
      <c r="A15" s="11" t="n">
        <v>300</v>
      </c>
      <c r="B15" s="11" t="n">
        <v>45</v>
      </c>
      <c r="C15" s="11" t="n">
        <v>2</v>
      </c>
      <c r="D15" s="11" t="n">
        <v>10</v>
      </c>
      <c r="E15" s="12" t="n">
        <v>525</v>
      </c>
      <c r="F15" s="13" t="n">
        <v>0.0588040351867676</v>
      </c>
      <c r="G15" s="12" t="n">
        <v>528</v>
      </c>
      <c r="H15" s="12" t="n">
        <v>532</v>
      </c>
      <c r="I15" s="11" t="s">
        <v>29</v>
      </c>
      <c r="J15" s="14" t="n">
        <v>30.0063242912293</v>
      </c>
      <c r="K15" s="15" t="n">
        <f aca="false">(G15-E15)/ABS(G15)</f>
        <v>0.00568181818181818</v>
      </c>
      <c r="L15" s="16" t="n">
        <v>0.0152599513369762</v>
      </c>
      <c r="M15" s="17" t="n">
        <f aca="false">(H15-E15)/H15</f>
        <v>0.0131578947368421</v>
      </c>
      <c r="N15" s="11" t="n">
        <v>27</v>
      </c>
      <c r="O15" s="11" t="n">
        <v>10</v>
      </c>
      <c r="P15" s="11" t="n">
        <v>2</v>
      </c>
      <c r="Q15" s="11" t="n">
        <v>0</v>
      </c>
    </row>
    <row r="16" customFormat="false" ht="15" hidden="false" customHeight="false" outlineLevel="0" collapsed="false">
      <c r="A16" s="11" t="n">
        <v>300</v>
      </c>
      <c r="B16" s="11" t="n">
        <v>45</v>
      </c>
      <c r="C16" s="11" t="n">
        <v>2</v>
      </c>
      <c r="D16" s="11" t="n">
        <v>15</v>
      </c>
      <c r="E16" s="12" t="n">
        <v>525</v>
      </c>
      <c r="F16" s="13" t="n">
        <v>0.169063091278076</v>
      </c>
      <c r="G16" s="12" t="n">
        <v>528</v>
      </c>
      <c r="H16" s="12" t="n">
        <v>532</v>
      </c>
      <c r="I16" s="11" t="s">
        <v>29</v>
      </c>
      <c r="J16" s="14" t="n">
        <v>30.0063242912293</v>
      </c>
      <c r="K16" s="15" t="n">
        <f aca="false">(G16-E16)/ABS(G16)</f>
        <v>0.00568181818181818</v>
      </c>
      <c r="L16" s="16" t="n">
        <v>0.0152599513369762</v>
      </c>
      <c r="M16" s="17" t="n">
        <f aca="false">(H16-E16)/H16</f>
        <v>0.0131578947368421</v>
      </c>
      <c r="N16" s="11" t="n">
        <v>6</v>
      </c>
      <c r="O16" s="11" t="n">
        <v>0</v>
      </c>
      <c r="P16" s="11" t="n">
        <v>0</v>
      </c>
      <c r="Q16" s="11" t="n">
        <v>0</v>
      </c>
    </row>
    <row r="17" customFormat="false" ht="15" hidden="false" customHeight="false" outlineLevel="0" collapsed="false">
      <c r="A17" s="11" t="n">
        <v>300</v>
      </c>
      <c r="B17" s="11" t="n">
        <v>45</v>
      </c>
      <c r="C17" s="11" t="n">
        <v>3</v>
      </c>
      <c r="D17" s="11" t="n">
        <v>5</v>
      </c>
      <c r="E17" s="12" t="n">
        <v>526</v>
      </c>
      <c r="F17" s="13" t="n">
        <v>0.0465114116668701</v>
      </c>
      <c r="G17" s="12" t="n">
        <v>535</v>
      </c>
      <c r="H17" s="12" t="n">
        <v>539</v>
      </c>
      <c r="I17" s="11" t="s">
        <v>29</v>
      </c>
      <c r="J17" s="14" t="n">
        <v>30.0089654922485</v>
      </c>
      <c r="K17" s="15" t="n">
        <f aca="false">(G17-E17)/ABS(G17)</f>
        <v>0.0168224299065421</v>
      </c>
      <c r="L17" s="16" t="n">
        <v>0.026469972072523</v>
      </c>
      <c r="M17" s="17" t="n">
        <f aca="false">(H17-E17)/H17</f>
        <v>0.0241187384044527</v>
      </c>
      <c r="N17" s="11" t="n">
        <v>59</v>
      </c>
      <c r="O17" s="11" t="n">
        <v>30</v>
      </c>
      <c r="P17" s="11" t="n">
        <v>6</v>
      </c>
      <c r="Q17" s="11" t="n">
        <v>0</v>
      </c>
    </row>
    <row r="18" customFormat="false" ht="15" hidden="false" customHeight="false" outlineLevel="0" collapsed="false">
      <c r="A18" s="11" t="n">
        <v>300</v>
      </c>
      <c r="B18" s="11" t="n">
        <v>45</v>
      </c>
      <c r="C18" s="11" t="n">
        <v>3</v>
      </c>
      <c r="D18" s="11" t="n">
        <v>10</v>
      </c>
      <c r="E18" s="12" t="n">
        <v>531</v>
      </c>
      <c r="F18" s="13" t="n">
        <v>0.0609683990478516</v>
      </c>
      <c r="G18" s="12" t="n">
        <v>535</v>
      </c>
      <c r="H18" s="12" t="n">
        <v>539</v>
      </c>
      <c r="I18" s="11" t="s">
        <v>29</v>
      </c>
      <c r="J18" s="14" t="n">
        <v>30.0089654922485</v>
      </c>
      <c r="K18" s="15" t="n">
        <f aca="false">(G18-E18)/ABS(G18)</f>
        <v>0.00747663551401869</v>
      </c>
      <c r="L18" s="16" t="n">
        <v>0.0172158843545812</v>
      </c>
      <c r="M18" s="17" t="n">
        <f aca="false">(H18-E18)/H18</f>
        <v>0.0148423005565863</v>
      </c>
      <c r="N18" s="11" t="n">
        <v>27</v>
      </c>
      <c r="O18" s="11" t="n">
        <v>10</v>
      </c>
      <c r="P18" s="11" t="n">
        <v>2</v>
      </c>
      <c r="Q18" s="11" t="n">
        <v>0</v>
      </c>
    </row>
    <row r="19" customFormat="false" ht="15" hidden="false" customHeight="false" outlineLevel="0" collapsed="false">
      <c r="A19" s="11" t="n">
        <v>300</v>
      </c>
      <c r="B19" s="11" t="n">
        <v>45</v>
      </c>
      <c r="C19" s="11" t="n">
        <v>3</v>
      </c>
      <c r="D19" s="11" t="n">
        <v>15</v>
      </c>
      <c r="E19" s="12" t="n">
        <v>533</v>
      </c>
      <c r="F19" s="13" t="n">
        <v>0.120613098144531</v>
      </c>
      <c r="G19" s="12" t="n">
        <v>535</v>
      </c>
      <c r="H19" s="12" t="n">
        <v>539</v>
      </c>
      <c r="I19" s="11" t="s">
        <v>29</v>
      </c>
      <c r="J19" s="14" t="n">
        <v>30.0089654922485</v>
      </c>
      <c r="K19" s="15" t="n">
        <f aca="false">(G19-E19)/ABS(G19)</f>
        <v>0.00373831775700935</v>
      </c>
      <c r="L19" s="16" t="n">
        <v>0.0135142492674045</v>
      </c>
      <c r="M19" s="17" t="n">
        <f aca="false">(H19-E19)/H19</f>
        <v>0.0111317254174397</v>
      </c>
      <c r="N19" s="11" t="n">
        <v>4</v>
      </c>
      <c r="O19" s="11" t="n">
        <v>0</v>
      </c>
      <c r="P19" s="11" t="n">
        <v>0</v>
      </c>
      <c r="Q19" s="11" t="n">
        <v>0</v>
      </c>
    </row>
    <row r="20" customFormat="false" ht="15" hidden="false" customHeight="false" outlineLevel="0" collapsed="false">
      <c r="A20" s="11" t="n">
        <v>1000</v>
      </c>
      <c r="B20" s="11" t="n">
        <v>150</v>
      </c>
      <c r="C20" s="11" t="n">
        <v>1</v>
      </c>
      <c r="D20" s="11" t="n">
        <v>5</v>
      </c>
      <c r="E20" s="12" t="n">
        <v>1782</v>
      </c>
      <c r="F20" s="13" t="n">
        <v>0.302894115447998</v>
      </c>
      <c r="G20" s="12" t="n">
        <v>1784</v>
      </c>
      <c r="H20" s="12" t="n">
        <v>1795</v>
      </c>
      <c r="I20" s="11" t="s">
        <v>29</v>
      </c>
      <c r="J20" s="14" t="n">
        <v>30.0362849235535</v>
      </c>
      <c r="K20" s="15" t="n">
        <f aca="false">(G20-E20)/ABS(G20)</f>
        <v>0.00112107623318386</v>
      </c>
      <c r="L20" s="16" t="n">
        <v>0.00754014160242659</v>
      </c>
      <c r="M20" s="17" t="n">
        <f aca="false">(H20-E20)/H20</f>
        <v>0.00724233983286908</v>
      </c>
      <c r="N20" s="11" t="n">
        <v>41</v>
      </c>
      <c r="O20" s="11" t="n">
        <v>0</v>
      </c>
      <c r="P20" s="11" t="n">
        <v>0</v>
      </c>
      <c r="Q20" s="11" t="n">
        <v>0</v>
      </c>
    </row>
    <row r="21" customFormat="false" ht="15" hidden="false" customHeight="false" outlineLevel="0" collapsed="false">
      <c r="A21" s="11" t="n">
        <v>1000</v>
      </c>
      <c r="B21" s="11" t="n">
        <v>150</v>
      </c>
      <c r="C21" s="11" t="n">
        <v>1</v>
      </c>
      <c r="D21" s="11" t="n">
        <v>10</v>
      </c>
      <c r="E21" s="12" t="n">
        <v>1783</v>
      </c>
      <c r="F21" s="13" t="n">
        <v>0.291234254837036</v>
      </c>
      <c r="G21" s="12" t="n">
        <v>1784</v>
      </c>
      <c r="H21" s="12" t="n">
        <v>1795</v>
      </c>
      <c r="I21" s="11" t="s">
        <v>29</v>
      </c>
      <c r="J21" s="14" t="n">
        <v>30.0362849235535</v>
      </c>
      <c r="K21" s="15" t="n">
        <f aca="false">(G21-E21)/ABS(G21)</f>
        <v>0.000560538116591928</v>
      </c>
      <c r="L21" s="16" t="n">
        <v>0.0069832056549532</v>
      </c>
      <c r="M21" s="17" t="n">
        <f aca="false">(H21-E21)/H21</f>
        <v>0.00668523676880223</v>
      </c>
      <c r="N21" s="11" t="n">
        <v>32</v>
      </c>
      <c r="O21" s="11" t="n">
        <v>0</v>
      </c>
      <c r="P21" s="11" t="n">
        <v>0</v>
      </c>
      <c r="Q21" s="11" t="n">
        <v>0</v>
      </c>
    </row>
    <row r="22" customFormat="false" ht="15" hidden="false" customHeight="false" outlineLevel="0" collapsed="false">
      <c r="A22" s="11" t="n">
        <v>1000</v>
      </c>
      <c r="B22" s="11" t="n">
        <v>150</v>
      </c>
      <c r="C22" s="11" t="n">
        <v>1</v>
      </c>
      <c r="D22" s="11" t="n">
        <v>15</v>
      </c>
      <c r="E22" s="12" t="n">
        <v>1783</v>
      </c>
      <c r="F22" s="13" t="n">
        <v>0.341771364212036</v>
      </c>
      <c r="G22" s="12" t="n">
        <v>1784</v>
      </c>
      <c r="H22" s="12" t="n">
        <v>1795</v>
      </c>
      <c r="I22" s="11" t="s">
        <v>29</v>
      </c>
      <c r="J22" s="14" t="n">
        <v>30.0362849235535</v>
      </c>
      <c r="K22" s="15" t="n">
        <f aca="false">(G22-E22)/ABS(G22)</f>
        <v>0.000560538116591928</v>
      </c>
      <c r="L22" s="16" t="n">
        <v>0.0069832056549532</v>
      </c>
      <c r="M22" s="17" t="n">
        <f aca="false">(H22-E22)/H22</f>
        <v>0.00668523676880223</v>
      </c>
      <c r="N22" s="11" t="n">
        <v>28</v>
      </c>
      <c r="O22" s="11" t="n">
        <v>0</v>
      </c>
      <c r="P22" s="11" t="n">
        <v>0</v>
      </c>
      <c r="Q22" s="11" t="n">
        <v>0</v>
      </c>
    </row>
    <row r="23" customFormat="false" ht="15" hidden="false" customHeight="false" outlineLevel="0" collapsed="false">
      <c r="A23" s="11" t="n">
        <v>1000</v>
      </c>
      <c r="B23" s="11" t="n">
        <v>150</v>
      </c>
      <c r="C23" s="11" t="n">
        <v>2</v>
      </c>
      <c r="D23" s="11" t="n">
        <v>5</v>
      </c>
      <c r="E23" s="12" t="n">
        <v>1795</v>
      </c>
      <c r="F23" s="13" t="n">
        <v>0.312231779098511</v>
      </c>
      <c r="G23" s="12" t="n">
        <v>1801</v>
      </c>
      <c r="H23" s="12" t="n">
        <v>1811</v>
      </c>
      <c r="I23" s="11" t="s">
        <v>29</v>
      </c>
      <c r="J23" s="14" t="n">
        <v>30.0286874771118</v>
      </c>
      <c r="K23" s="15" t="n">
        <f aca="false">(G23-E23)/ABS(G23)</f>
        <v>0.00333148250971682</v>
      </c>
      <c r="L23" s="16" t="n">
        <v>0.00945179124804407</v>
      </c>
      <c r="M23" s="17" t="n">
        <f aca="false">(H23-E23)/H23</f>
        <v>0.00883489784649365</v>
      </c>
      <c r="N23" s="11" t="n">
        <v>53</v>
      </c>
      <c r="O23" s="11" t="n">
        <v>0</v>
      </c>
      <c r="P23" s="11" t="n">
        <v>0</v>
      </c>
      <c r="Q23" s="11" t="n">
        <v>0</v>
      </c>
    </row>
    <row r="24" customFormat="false" ht="15" hidden="false" customHeight="false" outlineLevel="0" collapsed="false">
      <c r="A24" s="11" t="n">
        <v>1000</v>
      </c>
      <c r="B24" s="11" t="n">
        <v>150</v>
      </c>
      <c r="C24" s="11" t="n">
        <v>2</v>
      </c>
      <c r="D24" s="11" t="n">
        <v>10</v>
      </c>
      <c r="E24" s="12" t="n">
        <v>1797</v>
      </c>
      <c r="F24" s="13" t="n">
        <v>0.318995952606201</v>
      </c>
      <c r="G24" s="12" t="n">
        <v>1801</v>
      </c>
      <c r="H24" s="12" t="n">
        <v>1811</v>
      </c>
      <c r="I24" s="11" t="s">
        <v>29</v>
      </c>
      <c r="J24" s="14" t="n">
        <v>30.0286874771118</v>
      </c>
      <c r="K24" s="15" t="n">
        <f aca="false">(G24-E24)/ABS(G24)</f>
        <v>0.00222098833981122</v>
      </c>
      <c r="L24" s="16" t="n">
        <v>0.00834811636364078</v>
      </c>
      <c r="M24" s="17" t="n">
        <f aca="false">(H24-E24)/H24</f>
        <v>0.00773053561568194</v>
      </c>
      <c r="N24" s="11" t="n">
        <v>44</v>
      </c>
      <c r="O24" s="11" t="n">
        <v>0</v>
      </c>
      <c r="P24" s="11" t="n">
        <v>0</v>
      </c>
      <c r="Q24" s="11" t="n">
        <v>0</v>
      </c>
    </row>
    <row r="25" customFormat="false" ht="15" hidden="false" customHeight="false" outlineLevel="0" collapsed="false">
      <c r="A25" s="11" t="n">
        <v>1000</v>
      </c>
      <c r="B25" s="11" t="n">
        <v>150</v>
      </c>
      <c r="C25" s="11" t="n">
        <v>2</v>
      </c>
      <c r="D25" s="11" t="n">
        <v>15</v>
      </c>
      <c r="E25" s="12" t="n">
        <v>1797</v>
      </c>
      <c r="F25" s="13" t="n">
        <v>0.357420444488525</v>
      </c>
      <c r="G25" s="12" t="n">
        <v>1801</v>
      </c>
      <c r="H25" s="12" t="n">
        <v>1811</v>
      </c>
      <c r="I25" s="11" t="s">
        <v>29</v>
      </c>
      <c r="J25" s="14" t="n">
        <v>30.0286874771118</v>
      </c>
      <c r="K25" s="15" t="n">
        <f aca="false">(G25-E25)/ABS(G25)</f>
        <v>0.00222098833981122</v>
      </c>
      <c r="L25" s="16" t="n">
        <v>0.00834811636364078</v>
      </c>
      <c r="M25" s="17" t="n">
        <f aca="false">(H25-E25)/H25</f>
        <v>0.00773053561568194</v>
      </c>
      <c r="N25" s="11" t="n">
        <v>37</v>
      </c>
      <c r="O25" s="11" t="n">
        <v>0</v>
      </c>
      <c r="P25" s="11" t="n">
        <v>0</v>
      </c>
      <c r="Q25" s="11" t="n">
        <v>0</v>
      </c>
    </row>
    <row r="26" customFormat="false" ht="15" hidden="false" customHeight="false" outlineLevel="0" collapsed="false">
      <c r="A26" s="11" t="n">
        <v>1000</v>
      </c>
      <c r="B26" s="11" t="n">
        <v>150</v>
      </c>
      <c r="C26" s="11" t="n">
        <v>3</v>
      </c>
      <c r="D26" s="11" t="n">
        <v>5</v>
      </c>
      <c r="E26" s="12" t="n">
        <v>1807</v>
      </c>
      <c r="F26" s="13" t="n">
        <v>0.394671440124512</v>
      </c>
      <c r="G26" s="12" t="n">
        <v>1814</v>
      </c>
      <c r="H26" s="12" t="n">
        <v>1823</v>
      </c>
      <c r="I26" s="11" t="s">
        <v>29</v>
      </c>
      <c r="J26" s="14" t="n">
        <v>30.0304226875305</v>
      </c>
      <c r="K26" s="15" t="n">
        <f aca="false">(G26-E26)/ABS(G26)</f>
        <v>0.00385887541345094</v>
      </c>
      <c r="L26" s="16" t="n">
        <v>0.00930720011573314</v>
      </c>
      <c r="M26" s="17" t="n">
        <f aca="false">(H26-E26)/H26</f>
        <v>0.00877674163466813</v>
      </c>
      <c r="N26" s="11" t="n">
        <v>94</v>
      </c>
      <c r="O26" s="11" t="n">
        <v>40</v>
      </c>
      <c r="P26" s="11" t="n">
        <v>8</v>
      </c>
      <c r="Q26" s="11" t="n">
        <v>0</v>
      </c>
    </row>
    <row r="27" customFormat="false" ht="15" hidden="false" customHeight="false" outlineLevel="0" collapsed="false">
      <c r="A27" s="11" t="n">
        <v>1000</v>
      </c>
      <c r="B27" s="11" t="n">
        <v>150</v>
      </c>
      <c r="C27" s="11" t="n">
        <v>3</v>
      </c>
      <c r="D27" s="11" t="n">
        <v>10</v>
      </c>
      <c r="E27" s="12" t="n">
        <v>1812</v>
      </c>
      <c r="F27" s="13" t="n">
        <v>0.354262351989746</v>
      </c>
      <c r="G27" s="12" t="n">
        <v>1814</v>
      </c>
      <c r="H27" s="12" t="n">
        <v>1823</v>
      </c>
      <c r="I27" s="11" t="s">
        <v>29</v>
      </c>
      <c r="J27" s="14" t="n">
        <v>30.0304226875305</v>
      </c>
      <c r="K27" s="15" t="n">
        <f aca="false">(G27-E27)/ABS(G27)</f>
        <v>0.00110253583241455</v>
      </c>
      <c r="L27" s="16" t="n">
        <v>0.00656593614261674</v>
      </c>
      <c r="M27" s="17" t="n">
        <f aca="false">(H27-E27)/H27</f>
        <v>0.00603400987383434</v>
      </c>
      <c r="N27" s="11" t="n">
        <v>59</v>
      </c>
      <c r="O27" s="11" t="n">
        <v>15</v>
      </c>
      <c r="P27" s="11" t="n">
        <v>3</v>
      </c>
      <c r="Q27" s="11" t="n">
        <v>0</v>
      </c>
    </row>
    <row r="28" customFormat="false" ht="15" hidden="false" customHeight="false" outlineLevel="0" collapsed="false">
      <c r="A28" s="11" t="n">
        <v>1000</v>
      </c>
      <c r="B28" s="11" t="n">
        <v>150</v>
      </c>
      <c r="C28" s="11" t="n">
        <v>3</v>
      </c>
      <c r="D28" s="11" t="n">
        <v>15</v>
      </c>
      <c r="E28" s="12" t="n">
        <v>1812</v>
      </c>
      <c r="F28" s="13" t="n">
        <v>0.37650465965271</v>
      </c>
      <c r="G28" s="12" t="n">
        <v>1814</v>
      </c>
      <c r="H28" s="12" t="n">
        <v>1823</v>
      </c>
      <c r="I28" s="11" t="s">
        <v>29</v>
      </c>
      <c r="J28" s="14" t="n">
        <v>30.0304226875305</v>
      </c>
      <c r="K28" s="15" t="n">
        <f aca="false">(G28-E28)/ABS(G28)</f>
        <v>0.00110253583241455</v>
      </c>
      <c r="L28" s="16" t="n">
        <v>0.00656593614261674</v>
      </c>
      <c r="M28" s="17" t="n">
        <f aca="false">(H28-E28)/H28</f>
        <v>0.00603400987383434</v>
      </c>
      <c r="N28" s="11" t="n">
        <v>34</v>
      </c>
      <c r="O28" s="11" t="n">
        <v>0</v>
      </c>
      <c r="P28" s="11" t="n">
        <v>0</v>
      </c>
      <c r="Q28" s="11" t="n">
        <v>0</v>
      </c>
    </row>
    <row r="29" customFormat="false" ht="15" hidden="false" customHeight="false" outlineLevel="0" collapsed="false">
      <c r="A29" s="11" t="n">
        <v>3000</v>
      </c>
      <c r="B29" s="11" t="n">
        <v>450</v>
      </c>
      <c r="C29" s="11" t="n">
        <v>1</v>
      </c>
      <c r="D29" s="11" t="n">
        <v>5</v>
      </c>
      <c r="E29" s="12" t="n">
        <v>5476</v>
      </c>
      <c r="F29" s="13" t="n">
        <v>4.85007333755493</v>
      </c>
      <c r="G29" s="12" t="n">
        <v>5450</v>
      </c>
      <c r="H29" s="12" t="n">
        <v>5498</v>
      </c>
      <c r="I29" s="11" t="s">
        <v>29</v>
      </c>
      <c r="J29" s="14" t="n">
        <v>20.1885480880737</v>
      </c>
      <c r="K29" s="15" t="n">
        <f aca="false">(G29-E29)/ABS(G29)</f>
        <v>-0.00477064220183486</v>
      </c>
      <c r="L29" s="16" t="n">
        <v>0.00411203775763471</v>
      </c>
      <c r="M29" s="17" t="n">
        <f aca="false">(H29-E29)/H29</f>
        <v>0.00400145507457257</v>
      </c>
      <c r="N29" s="11" t="n">
        <v>108</v>
      </c>
      <c r="O29" s="11" t="n">
        <v>35</v>
      </c>
      <c r="P29" s="11" t="n">
        <v>7</v>
      </c>
      <c r="Q29" s="11" t="n">
        <v>0</v>
      </c>
    </row>
    <row r="30" customFormat="false" ht="15" hidden="false" customHeight="false" outlineLevel="0" collapsed="false">
      <c r="A30" s="11" t="n">
        <v>3000</v>
      </c>
      <c r="B30" s="11" t="n">
        <v>450</v>
      </c>
      <c r="C30" s="11" t="n">
        <v>1</v>
      </c>
      <c r="D30" s="11" t="n">
        <v>10</v>
      </c>
      <c r="E30" s="12" t="n">
        <v>5482</v>
      </c>
      <c r="F30" s="13" t="n">
        <v>4.30557227134705</v>
      </c>
      <c r="G30" s="12" t="n">
        <v>5450</v>
      </c>
      <c r="H30" s="12" t="n">
        <v>5498</v>
      </c>
      <c r="I30" s="11" t="s">
        <v>29</v>
      </c>
      <c r="J30" s="14" t="n">
        <v>20.1885480880737</v>
      </c>
      <c r="K30" s="15" t="n">
        <f aca="false">(G30-E30)/ABS(G30)</f>
        <v>-0.00587155963302752</v>
      </c>
      <c r="L30" s="16" t="n">
        <v>0.00302085299257733</v>
      </c>
      <c r="M30" s="17" t="n">
        <f aca="false">(H30-E30)/H30</f>
        <v>0.00291014914514369</v>
      </c>
      <c r="N30" s="11" t="n">
        <v>82</v>
      </c>
      <c r="O30" s="11" t="n">
        <v>20</v>
      </c>
      <c r="P30" s="11" t="n">
        <v>4</v>
      </c>
      <c r="Q30" s="11" t="n">
        <v>0</v>
      </c>
    </row>
    <row r="31" customFormat="false" ht="15" hidden="false" customHeight="false" outlineLevel="0" collapsed="false">
      <c r="A31" s="11" t="n">
        <v>3000</v>
      </c>
      <c r="B31" s="11" t="n">
        <v>450</v>
      </c>
      <c r="C31" s="11" t="n">
        <v>1</v>
      </c>
      <c r="D31" s="11" t="n">
        <v>15</v>
      </c>
      <c r="E31" s="12" t="n">
        <v>5484</v>
      </c>
      <c r="F31" s="13" t="n">
        <v>3.65202903747559</v>
      </c>
      <c r="G31" s="12" t="n">
        <v>5450</v>
      </c>
      <c r="H31" s="12" t="n">
        <v>5498</v>
      </c>
      <c r="I31" s="11" t="s">
        <v>29</v>
      </c>
      <c r="J31" s="14" t="n">
        <v>20.1885480880737</v>
      </c>
      <c r="K31" s="15" t="n">
        <f aca="false">(G31-E31)/ABS(G31)</f>
        <v>-0.00623853211009174</v>
      </c>
      <c r="L31" s="16" t="n">
        <v>0.0026571247375582</v>
      </c>
      <c r="M31" s="17" t="n">
        <f aca="false">(H31-E31)/H31</f>
        <v>0.00254638050200073</v>
      </c>
      <c r="N31" s="11" t="n">
        <v>56</v>
      </c>
      <c r="O31" s="11" t="n">
        <v>5</v>
      </c>
      <c r="P31" s="11" t="n">
        <v>1</v>
      </c>
      <c r="Q31" s="11" t="n">
        <v>0</v>
      </c>
    </row>
    <row r="32" customFormat="false" ht="15" hidden="false" customHeight="false" outlineLevel="0" collapsed="false">
      <c r="A32" s="11" t="n">
        <v>3000</v>
      </c>
      <c r="B32" s="11" t="n">
        <v>450</v>
      </c>
      <c r="C32" s="11" t="n">
        <v>2</v>
      </c>
      <c r="D32" s="11" t="n">
        <v>5</v>
      </c>
      <c r="E32" s="12" t="n">
        <v>5448</v>
      </c>
      <c r="F32" s="13" t="n">
        <v>5.03180193901062</v>
      </c>
      <c r="G32" s="12" t="n">
        <v>5418</v>
      </c>
      <c r="H32" s="12" t="n">
        <v>5472</v>
      </c>
      <c r="I32" s="11" t="s">
        <v>29</v>
      </c>
      <c r="J32" s="14" t="n">
        <v>20.1940410137177</v>
      </c>
      <c r="K32" s="15" t="n">
        <f aca="false">(G32-E32)/ABS(G32)</f>
        <v>-0.00553709856035438</v>
      </c>
      <c r="L32" s="16" t="n">
        <v>0.00445049191776586</v>
      </c>
      <c r="M32" s="17" t="n">
        <f aca="false">(H32-E32)/H32</f>
        <v>0.0043859649122807</v>
      </c>
      <c r="N32" s="11" t="n">
        <v>89</v>
      </c>
      <c r="O32" s="11" t="n">
        <v>1</v>
      </c>
      <c r="P32" s="11" t="n">
        <v>0</v>
      </c>
      <c r="Q32" s="11" t="n">
        <v>0</v>
      </c>
    </row>
    <row r="33" customFormat="false" ht="15" hidden="false" customHeight="false" outlineLevel="0" collapsed="false">
      <c r="A33" s="11" t="n">
        <v>3000</v>
      </c>
      <c r="B33" s="11" t="n">
        <v>450</v>
      </c>
      <c r="C33" s="11" t="n">
        <v>2</v>
      </c>
      <c r="D33" s="11" t="n">
        <v>10</v>
      </c>
      <c r="E33" s="12" t="n">
        <v>5449</v>
      </c>
      <c r="F33" s="13" t="n">
        <v>4.98989534378052</v>
      </c>
      <c r="G33" s="12" t="n">
        <v>5418</v>
      </c>
      <c r="H33" s="12" t="n">
        <v>5472</v>
      </c>
      <c r="I33" s="11" t="s">
        <v>29</v>
      </c>
      <c r="J33" s="14" t="n">
        <v>20.1940410137177</v>
      </c>
      <c r="K33" s="15" t="n">
        <f aca="false">(G33-E33)/ABS(G33)</f>
        <v>-0.00572166851236619</v>
      </c>
      <c r="L33" s="16" t="n">
        <v>0.00426775522391817</v>
      </c>
      <c r="M33" s="17" t="n">
        <f aca="false">(H33-E33)/H33</f>
        <v>0.00420321637426901</v>
      </c>
      <c r="N33" s="11" t="n">
        <v>83</v>
      </c>
      <c r="O33" s="11" t="n">
        <v>1</v>
      </c>
      <c r="P33" s="11" t="n">
        <v>0</v>
      </c>
      <c r="Q33" s="11" t="n">
        <v>0</v>
      </c>
    </row>
    <row r="34" customFormat="false" ht="15" hidden="false" customHeight="false" outlineLevel="0" collapsed="false">
      <c r="A34" s="11" t="n">
        <v>3000</v>
      </c>
      <c r="B34" s="11" t="n">
        <v>450</v>
      </c>
      <c r="C34" s="11" t="n">
        <v>2</v>
      </c>
      <c r="D34" s="11" t="n">
        <v>15</v>
      </c>
      <c r="E34" s="12" t="n">
        <v>5455</v>
      </c>
      <c r="F34" s="13" t="n">
        <v>5.0599513053894</v>
      </c>
      <c r="G34" s="12" t="n">
        <v>5418</v>
      </c>
      <c r="H34" s="12" t="n">
        <v>5472</v>
      </c>
      <c r="I34" s="11" t="s">
        <v>29</v>
      </c>
      <c r="J34" s="14" t="n">
        <v>20.1940410137177</v>
      </c>
      <c r="K34" s="15" t="n">
        <f aca="false">(G34-E34)/ABS(G34)</f>
        <v>-0.00682908822443706</v>
      </c>
      <c r="L34" s="16" t="n">
        <v>0.00317133506083201</v>
      </c>
      <c r="M34" s="17" t="n">
        <f aca="false">(H34-E34)/H34</f>
        <v>0.00310672514619883</v>
      </c>
      <c r="N34" s="11" t="n">
        <v>73</v>
      </c>
      <c r="O34" s="11" t="n">
        <v>1</v>
      </c>
      <c r="P34" s="11" t="n">
        <v>0</v>
      </c>
      <c r="Q34" s="11" t="n">
        <v>0</v>
      </c>
    </row>
    <row r="35" customFormat="false" ht="15" hidden="false" customHeight="false" outlineLevel="0" collapsed="false">
      <c r="A35" s="11" t="n">
        <v>3000</v>
      </c>
      <c r="B35" s="11" t="n">
        <v>450</v>
      </c>
      <c r="C35" s="11" t="n">
        <v>3</v>
      </c>
      <c r="D35" s="11" t="n">
        <v>5</v>
      </c>
      <c r="E35" s="12" t="n">
        <v>5473</v>
      </c>
      <c r="F35" s="13" t="n">
        <v>4.87321376800537</v>
      </c>
      <c r="G35" s="12" t="n">
        <v>5456</v>
      </c>
      <c r="H35" s="12" t="n">
        <v>5497</v>
      </c>
      <c r="I35" s="11" t="s">
        <v>29</v>
      </c>
      <c r="J35" s="14" t="n">
        <v>20.2079038619995</v>
      </c>
      <c r="K35" s="15" t="n">
        <f aca="false">(G35-E35)/ABS(G35)</f>
        <v>-0.0031158357771261</v>
      </c>
      <c r="L35" s="16" t="n">
        <v>0.00443501513453688</v>
      </c>
      <c r="M35" s="17" t="n">
        <f aca="false">(H35-E35)/H35</f>
        <v>0.00436601782790613</v>
      </c>
      <c r="N35" s="11" t="n">
        <v>88</v>
      </c>
      <c r="O35" s="11" t="n">
        <v>20</v>
      </c>
      <c r="P35" s="11" t="n">
        <v>4</v>
      </c>
      <c r="Q35" s="11" t="n">
        <v>0</v>
      </c>
    </row>
    <row r="36" customFormat="false" ht="15" hidden="false" customHeight="false" outlineLevel="0" collapsed="false">
      <c r="A36" s="11" t="n">
        <v>3000</v>
      </c>
      <c r="B36" s="11" t="n">
        <v>450</v>
      </c>
      <c r="C36" s="11" t="n">
        <v>3</v>
      </c>
      <c r="D36" s="11" t="n">
        <v>10</v>
      </c>
      <c r="E36" s="12" t="n">
        <v>5480</v>
      </c>
      <c r="F36" s="13" t="n">
        <v>3.87703680992127</v>
      </c>
      <c r="G36" s="12" t="n">
        <v>5456</v>
      </c>
      <c r="H36" s="12" t="n">
        <v>5497</v>
      </c>
      <c r="I36" s="11" t="s">
        <v>29</v>
      </c>
      <c r="J36" s="14" t="n">
        <v>20.2079038619995</v>
      </c>
      <c r="K36" s="15" t="n">
        <f aca="false">(G36-E36)/ABS(G36)</f>
        <v>-0.00439882697947214</v>
      </c>
      <c r="L36" s="16" t="n">
        <v>0.00316168151603547</v>
      </c>
      <c r="M36" s="17" t="n">
        <f aca="false">(H36-E36)/H36</f>
        <v>0.00309259596143351</v>
      </c>
      <c r="N36" s="11" t="n">
        <v>57</v>
      </c>
      <c r="O36" s="11" t="n">
        <v>0</v>
      </c>
      <c r="P36" s="11" t="n">
        <v>0</v>
      </c>
      <c r="Q36" s="11" t="n">
        <v>0</v>
      </c>
    </row>
    <row r="37" customFormat="false" ht="15" hidden="false" customHeight="false" outlineLevel="0" collapsed="false">
      <c r="A37" s="11" t="n">
        <v>3000</v>
      </c>
      <c r="B37" s="11" t="n">
        <v>450</v>
      </c>
      <c r="C37" s="11" t="n">
        <v>3</v>
      </c>
      <c r="D37" s="11" t="n">
        <v>15</v>
      </c>
      <c r="E37" s="12" t="n">
        <v>5480</v>
      </c>
      <c r="F37" s="13" t="n">
        <v>3.80377316474915</v>
      </c>
      <c r="G37" s="12" t="n">
        <v>5456</v>
      </c>
      <c r="H37" s="12" t="n">
        <v>5497</v>
      </c>
      <c r="I37" s="11" t="s">
        <v>29</v>
      </c>
      <c r="J37" s="14" t="n">
        <v>20.2079038619995</v>
      </c>
      <c r="K37" s="15" t="n">
        <f aca="false">(G37-E37)/ABS(G37)</f>
        <v>-0.00439882697947214</v>
      </c>
      <c r="L37" s="16" t="n">
        <v>0.00316168151603547</v>
      </c>
      <c r="M37" s="17" t="n">
        <f aca="false">(H37-E37)/H37</f>
        <v>0.00309259596143351</v>
      </c>
      <c r="N37" s="11" t="n">
        <v>52</v>
      </c>
      <c r="O37" s="11" t="n">
        <v>0</v>
      </c>
      <c r="P37" s="11" t="n">
        <v>0</v>
      </c>
      <c r="Q37" s="11" t="n">
        <v>0</v>
      </c>
    </row>
  </sheetData>
  <autoFilter ref="A1:Q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8" t="s">
        <v>30</v>
      </c>
    </row>
    <row r="2" customFormat="false" ht="15" hidden="false" customHeight="false" outlineLevel="0" collapsed="false">
      <c r="A2" s="19" t="s">
        <v>31</v>
      </c>
    </row>
    <row r="3" customFormat="false" ht="15" hidden="false" customHeight="false" outlineLevel="0" collapsed="false">
      <c r="A3" s="18" t="s">
        <v>32</v>
      </c>
    </row>
    <row r="4" customFormat="false" ht="15" hidden="false" customHeight="false" outlineLevel="0" collapsed="false">
      <c r="A4" s="19" t="s">
        <v>33</v>
      </c>
    </row>
    <row r="5" customFormat="false" ht="15" hidden="false" customHeight="false" outlineLevel="0" collapsed="false">
      <c r="A5" s="18" t="s">
        <v>34</v>
      </c>
    </row>
    <row r="6" customFormat="false" ht="15" hidden="false" customHeight="false" outlineLevel="0" collapsed="false">
      <c r="A6" s="19" t="s">
        <v>35</v>
      </c>
    </row>
    <row r="7" customFormat="false" ht="15" hidden="false" customHeight="false" outlineLevel="0" collapsed="false">
      <c r="A7" s="18" t="s">
        <v>36</v>
      </c>
    </row>
    <row r="8" customFormat="false" ht="23.85" hidden="false" customHeight="false" outlineLevel="0" collapsed="false">
      <c r="A8" s="19" t="s">
        <v>37</v>
      </c>
    </row>
    <row r="9" customFormat="false" ht="23.85" hidden="false" customHeight="false" outlineLevel="0" collapsed="false">
      <c r="A9" s="19" t="s">
        <v>38</v>
      </c>
    </row>
    <row r="10" customFormat="false" ht="15" hidden="false" customHeight="false" outlineLevel="0" collapsed="false">
      <c r="A10" s="18" t="s">
        <v>39</v>
      </c>
    </row>
    <row r="11" customFormat="false" ht="23.85" hidden="false" customHeight="false" outlineLevel="0" collapsed="false">
      <c r="A11" s="19" t="s">
        <v>40</v>
      </c>
    </row>
    <row r="12" customFormat="false" ht="23.85" hidden="false" customHeight="false" outlineLevel="0" collapsed="false">
      <c r="A12" s="19" t="s">
        <v>41</v>
      </c>
    </row>
    <row r="13" customFormat="false" ht="15" hidden="false" customHeight="false" outlineLevel="0" collapsed="false">
      <c r="A13" s="19" t="s">
        <v>42</v>
      </c>
    </row>
    <row r="14" customFormat="false" ht="15" hidden="false" customHeight="false" outlineLevel="0" collapsed="false">
      <c r="A14" s="18" t="s">
        <v>43</v>
      </c>
    </row>
    <row r="15" customFormat="false" ht="15" hidden="false" customHeight="false" outlineLevel="0" collapsed="false">
      <c r="A15" s="19" t="s">
        <v>44</v>
      </c>
    </row>
    <row r="16" customFormat="false" ht="15" hidden="false" customHeight="false" outlineLevel="0" collapsed="false">
      <c r="A16" s="18" t="s">
        <v>45</v>
      </c>
    </row>
    <row r="17" customFormat="false" ht="23.85" hidden="false" customHeight="false" outlineLevel="0" collapsed="false">
      <c r="A17" s="19" t="s">
        <v>46</v>
      </c>
    </row>
    <row r="18" customFormat="false" ht="15" hidden="false" customHeight="false" outlineLevel="0" collapsed="false">
      <c r="A18" s="18" t="s">
        <v>47</v>
      </c>
    </row>
    <row r="19" customFormat="false" ht="23.85" hidden="false" customHeight="false" outlineLevel="0" collapsed="false">
      <c r="A19" s="19" t="s">
        <v>48</v>
      </c>
    </row>
    <row r="20" customFormat="false" ht="23.85" hidden="false" customHeight="false" outlineLevel="0" collapsed="false">
      <c r="A20" s="19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2026-10-02T11:56:56Z</dcterms:created>
  <dc:creator>openpyxl</dc:creator>
  <dc:description/>
  <dc:language>en-US</dc:language>
  <cp:lastModifiedBy/>
  <dcterms:modified xsi:type="dcterms:W3CDTF">2026-10-02T11:56:59Z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